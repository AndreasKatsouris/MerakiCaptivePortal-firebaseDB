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ceanbasket-my.sharepoint.com/personal/jaclynn_oceanbasket_com/Documents/Desktop/Menu Costing/"/>
    </mc:Choice>
  </mc:AlternateContent>
  <xr:revisionPtr revIDLastSave="23" documentId="8_{EBFAAD33-AFD3-4666-B3D3-34EEC5051B9A}" xr6:coauthVersionLast="47" xr6:coauthVersionMax="47" xr10:uidLastSave="{F37C7E0D-4CD0-424B-979D-57C3311D75A7}"/>
  <bookViews>
    <workbookView xWindow="28680" yWindow="-120" windowWidth="29040" windowHeight="15720" xr2:uid="{CDEDEEB2-57DE-4B2F-8CC2-8A40B44279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4" i="1"/>
  <c r="E5" i="1"/>
</calcChain>
</file>

<file path=xl/sharedStrings.xml><?xml version="1.0" encoding="utf-8"?>
<sst xmlns="http://schemas.openxmlformats.org/spreadsheetml/2006/main" count="297" uniqueCount="295">
  <si>
    <t>Product</t>
  </si>
  <si>
    <t>New Price GP%</t>
  </si>
  <si>
    <t>Fresh Oyster 2</t>
  </si>
  <si>
    <t>Fresh 6 Oyster Platter</t>
  </si>
  <si>
    <t>Fresh 12 Oyster Platter</t>
  </si>
  <si>
    <t>haloumi cheese</t>
  </si>
  <si>
    <t>Halloumi Chese T Up</t>
  </si>
  <si>
    <t>Olives</t>
  </si>
  <si>
    <t>Feta</t>
  </si>
  <si>
    <t>Calamari Starter</t>
  </si>
  <si>
    <t>Mussles Lemon Garlic Sc</t>
  </si>
  <si>
    <t>Crunchy fish bites</t>
  </si>
  <si>
    <t>Paprika panko prawn</t>
  </si>
  <si>
    <t>Village base</t>
  </si>
  <si>
    <t>V Village Salad For 1</t>
  </si>
  <si>
    <t>V Village Table Salad</t>
  </si>
  <si>
    <t>House Salad FM</t>
  </si>
  <si>
    <t>House Salad FU</t>
  </si>
  <si>
    <t>Seared Salmon Salad</t>
  </si>
  <si>
    <t>Calamari Main</t>
  </si>
  <si>
    <t>Calamari 3 Ways</t>
  </si>
  <si>
    <t>Saucy Mediterranean prawns 12</t>
  </si>
  <si>
    <t>Saucy Mediterranean prawns 18</t>
  </si>
  <si>
    <t>Saucy Mediterranean prawns 24</t>
  </si>
  <si>
    <t>12 Prawn Special</t>
  </si>
  <si>
    <t>Prince Prawns 18</t>
  </si>
  <si>
    <t>Prince Prawns 24</t>
  </si>
  <si>
    <t>8 Queen Prawns</t>
  </si>
  <si>
    <t>Queen Prawns 12</t>
  </si>
  <si>
    <t>2 Queen Prawns TU</t>
  </si>
  <si>
    <t>4 King prawns</t>
  </si>
  <si>
    <t>8 King Prawns</t>
  </si>
  <si>
    <t>2 King Prawns TU</t>
  </si>
  <si>
    <t>Fam Fish &amp; Chips 100g</t>
  </si>
  <si>
    <t>Fam Fish &amp; Chips 150g</t>
  </si>
  <si>
    <t>Fam Fish &amp; Chips 200g</t>
  </si>
  <si>
    <t>Fam Fish &amp; Chips Panko 100g</t>
  </si>
  <si>
    <t>Fam Fish &amp; Chips Panko 150g</t>
  </si>
  <si>
    <t>Fam Fish &amp; Chips Panko 200g</t>
  </si>
  <si>
    <t>Fish &amp; Chips OB Select 100g</t>
  </si>
  <si>
    <t>Fish &amp; Chips OB Select 150g</t>
  </si>
  <si>
    <t>Fish &amp; Chips OB Select 200g</t>
  </si>
  <si>
    <t>Fish &amp; Chips OB Select Panko 100g</t>
  </si>
  <si>
    <t>Fish &amp; Chips OB Select Panko 150g</t>
  </si>
  <si>
    <t>Fish &amp; Chips OB Select Panko 200g</t>
  </si>
  <si>
    <t>NZ Kingklip 200g</t>
  </si>
  <si>
    <t>SA Kingklip 200g</t>
  </si>
  <si>
    <t>NZ Kingklip Fillet 300G</t>
  </si>
  <si>
    <t>SA Kingklip Fillet 300G</t>
  </si>
  <si>
    <t>Grilld Salmon 200g</t>
  </si>
  <si>
    <t>Grilled Sole (180 - 220) with herby lemon</t>
  </si>
  <si>
    <t>Grilled Sole footlong</t>
  </si>
  <si>
    <t>Grilled Seabream with herby lemon</t>
  </si>
  <si>
    <t>Mussels Lemon Garlic Main 12</t>
  </si>
  <si>
    <t>Mussels Lemon Garlic Main 24</t>
  </si>
  <si>
    <t xml:space="preserve">Hake &amp; calamari  </t>
  </si>
  <si>
    <t>Fish &amp; Calamari</t>
  </si>
  <si>
    <t>Cala &amp; Kingklip 200</t>
  </si>
  <si>
    <t>Prawn &amp; Mussels</t>
  </si>
  <si>
    <t>Prawn &amp; Calamari</t>
  </si>
  <si>
    <t>Prawn &amp; Hake</t>
  </si>
  <si>
    <t>Prawn &amp; Fish</t>
  </si>
  <si>
    <t>Prawn &amp; salmon</t>
  </si>
  <si>
    <t>Salmon &amp; Calamari</t>
  </si>
  <si>
    <t>Prawn &amp; Kingklip 200</t>
  </si>
  <si>
    <t>Bite Of The Ocean</t>
  </si>
  <si>
    <t>Platter For 1</t>
  </si>
  <si>
    <t>Crew's catch</t>
  </si>
  <si>
    <t>Platter For 2</t>
  </si>
  <si>
    <t>Family Platter</t>
  </si>
  <si>
    <t>Full Deck Platter</t>
  </si>
  <si>
    <t>Seabream Platter</t>
  </si>
  <si>
    <t>4 Mussels T Up</t>
  </si>
  <si>
    <t>Calamari T Up</t>
  </si>
  <si>
    <t>tarama 100g</t>
  </si>
  <si>
    <t xml:space="preserve">Tzatziki 100g </t>
  </si>
  <si>
    <t>Prep Chips Portion 200gr</t>
  </si>
  <si>
    <t>Prince Prawns (4)  T Up</t>
  </si>
  <si>
    <t>30ml Rich's CLS</t>
  </si>
  <si>
    <t>Prep Rice Portion 200gr</t>
  </si>
  <si>
    <t>Rich's CGS/L</t>
  </si>
  <si>
    <t>Maki Avocado 6 Pcs</t>
  </si>
  <si>
    <t>6 Maki Prawn</t>
  </si>
  <si>
    <t>v 6 Maki Salmon</t>
  </si>
  <si>
    <t>3 Nigiri Prawn</t>
  </si>
  <si>
    <t>Nigiri Salmon 3 Pcs</t>
  </si>
  <si>
    <t>3 Salmon Rose</t>
  </si>
  <si>
    <t>6 Salmon Rose</t>
  </si>
  <si>
    <t>3 Sashimi Salmon</t>
  </si>
  <si>
    <t>6 Sashimi Salmon</t>
  </si>
  <si>
    <t>9 Sashimi Salmon</t>
  </si>
  <si>
    <t>v 4 Cal Roll Prawn</t>
  </si>
  <si>
    <t>v 8 Cal Roll Prawn</t>
  </si>
  <si>
    <t>4 Cal Roll Salmon</t>
  </si>
  <si>
    <t>8 Cal Roll Salmon</t>
  </si>
  <si>
    <t>RB Roll Sal&amp;Avo 4</t>
  </si>
  <si>
    <t>8 RB Roll Sal&amp;Avo</t>
  </si>
  <si>
    <t>8 Cal Rol Lemon Salmon</t>
  </si>
  <si>
    <t>4 Cal Rol Lemon Salmon</t>
  </si>
  <si>
    <t>4 Cal Rol Temp Rock Shrimp</t>
  </si>
  <si>
    <t>8 Cal Rol Temp Rock Shrimp</t>
  </si>
  <si>
    <t>Sushi For 1</t>
  </si>
  <si>
    <t>Sushi For 2</t>
  </si>
  <si>
    <t>Salmon Favourites Platter</t>
  </si>
  <si>
    <t>Salmon For 1</t>
  </si>
  <si>
    <t>The Crunch platter Reworked</t>
  </si>
  <si>
    <t>Two Way Platter</t>
  </si>
  <si>
    <t>Panko Salmn Futomaki 6pcs</t>
  </si>
  <si>
    <t>Malva pudding</t>
  </si>
  <si>
    <t>Chocolate Lava Cake</t>
  </si>
  <si>
    <t>Ice Cream &amp; D/Sauce</t>
  </si>
  <si>
    <t>Baklava 2 pc</t>
  </si>
  <si>
    <t>Baklava 1 pc</t>
  </si>
  <si>
    <t>Plain Affogato</t>
  </si>
  <si>
    <t>J.C. Le Domaine</t>
  </si>
  <si>
    <t>J.C. Le Fleurette</t>
  </si>
  <si>
    <t>Alvi's drift Brut</t>
  </si>
  <si>
    <t>OB Dry White 750ml</t>
  </si>
  <si>
    <t>OB Dry White 250ml</t>
  </si>
  <si>
    <t>OB Dry White 175ml</t>
  </si>
  <si>
    <t>Piere Jordn Tranqil 750ml</t>
  </si>
  <si>
    <t>Piere Jordn Tranqil 250ml</t>
  </si>
  <si>
    <t>Piere Jordn Tranqil 175ml</t>
  </si>
  <si>
    <t>Graca 750ml</t>
  </si>
  <si>
    <t>Graca 250ml</t>
  </si>
  <si>
    <t>Graca 175ml</t>
  </si>
  <si>
    <t>Two Oceans Sav Blnc Btl</t>
  </si>
  <si>
    <t>Two Oceans Sav Blnc 250ml</t>
  </si>
  <si>
    <t>Two Oceans Sav Blnc 175ml</t>
  </si>
  <si>
    <t>Arniston Bay SB 175ml</t>
  </si>
  <si>
    <t>Arniston Bay SB 250ml</t>
  </si>
  <si>
    <t>Arniston Bay SB 750ml</t>
  </si>
  <si>
    <t>Van Lovern Sav Blnc 750ml</t>
  </si>
  <si>
    <t>Van Lovern Sav Blnc 250ml</t>
  </si>
  <si>
    <t>Van Lovern Sav Blnc 175ml</t>
  </si>
  <si>
    <t>Durbanville Sav Blnc 750ml</t>
  </si>
  <si>
    <t>Durbanville Sav Blnc Crf 250M</t>
  </si>
  <si>
    <t>Durbanville Sav Blnc Crf 175ml</t>
  </si>
  <si>
    <t>Laborie Chardonnay 175ml</t>
  </si>
  <si>
    <t>Laborie Chardonnay 250ml</t>
  </si>
  <si>
    <t>Laborie Chardonnay 750ml</t>
  </si>
  <si>
    <t>Durbanvil Hils Chrd 750ml</t>
  </si>
  <si>
    <t>Diemersdal Unwooded chard 750ml</t>
  </si>
  <si>
    <t>Marras Swartland Chenin 750Ml</t>
  </si>
  <si>
    <t>Stellenrust Premium Chenin 750ml</t>
  </si>
  <si>
    <t>Alvi's Drift Chenin 750ml</t>
  </si>
  <si>
    <t>Alvi's Drift Chenin Crf 250ml</t>
  </si>
  <si>
    <t>Alvi's Drift Chenin Crf 175ml</t>
  </si>
  <si>
    <t>Simonsig chenin 175ml</t>
  </si>
  <si>
    <t>Simonsig chenin 250ml</t>
  </si>
  <si>
    <t>Simonsig chenin 750ml</t>
  </si>
  <si>
    <t>OB Dry Red Btl</t>
  </si>
  <si>
    <t>OB Dry Red 250ml</t>
  </si>
  <si>
    <t>OB Dry Red 175ml</t>
  </si>
  <si>
    <t>Robertson Sweet red 175ml</t>
  </si>
  <si>
    <t>Robertson Sweet red 250ml</t>
  </si>
  <si>
    <t>Robertson Sweet red 750ml</t>
  </si>
  <si>
    <t>Arninston bay shiraz 175ml</t>
  </si>
  <si>
    <t>Arninston bay shiraz 250ml</t>
  </si>
  <si>
    <t>Arninston bay shiraz 750ml</t>
  </si>
  <si>
    <t>Ned Baronne 750ml</t>
  </si>
  <si>
    <t>Ned Baronne Crf 250ml</t>
  </si>
  <si>
    <t>Ned Baronne Crf 175ml</t>
  </si>
  <si>
    <t>L'Avenir Pinotage 750ml</t>
  </si>
  <si>
    <t>Nederburg Rosé 750ml</t>
  </si>
  <si>
    <t>Nederburg Rose 250ml</t>
  </si>
  <si>
    <t>Nederburg Rose 175ml</t>
  </si>
  <si>
    <t>De Grendel Rose 750Ml</t>
  </si>
  <si>
    <t>Arniston Bay rose 175ml</t>
  </si>
  <si>
    <t>Arniston Bay rose 250ml</t>
  </si>
  <si>
    <t>Arniston Bay rose 750ml</t>
  </si>
  <si>
    <t>Simonsig rose</t>
  </si>
  <si>
    <t>OB Rose 175ml</t>
  </si>
  <si>
    <t>OB Rose 250ml</t>
  </si>
  <si>
    <t>OB Rose 750ml</t>
  </si>
  <si>
    <t>Small Can Lemonade</t>
  </si>
  <si>
    <t>Fitch &amp; leeds</t>
  </si>
  <si>
    <t>Klipdrift Red</t>
  </si>
  <si>
    <t>Klipdrift Red Double</t>
  </si>
  <si>
    <t>Richelieu</t>
  </si>
  <si>
    <t>Richelieu Double</t>
  </si>
  <si>
    <t>Bells</t>
  </si>
  <si>
    <t>Bells Double</t>
  </si>
  <si>
    <t>J&amp;B</t>
  </si>
  <si>
    <t>J&amp;B Double</t>
  </si>
  <si>
    <t>Jameson</t>
  </si>
  <si>
    <t>Jameson Double</t>
  </si>
  <si>
    <t>J/W Black</t>
  </si>
  <si>
    <t>J/W Black Double</t>
  </si>
  <si>
    <t>Captain Morgan</t>
  </si>
  <si>
    <t>Captain Morgan Double</t>
  </si>
  <si>
    <t>Bacardi</t>
  </si>
  <si>
    <t>Bacardi Double</t>
  </si>
  <si>
    <t>Smirnoff Vodka</t>
  </si>
  <si>
    <t>Smirnoff Vodka Double</t>
  </si>
  <si>
    <t>Gordons Gin</t>
  </si>
  <si>
    <t>Gordons Gin Double</t>
  </si>
  <si>
    <t>Amarula</t>
  </si>
  <si>
    <t>Amarula Double</t>
  </si>
  <si>
    <t>Jagermeister</t>
  </si>
  <si>
    <t>Jagermeister Double</t>
  </si>
  <si>
    <t>Kahlua</t>
  </si>
  <si>
    <t>Kahlua Double</t>
  </si>
  <si>
    <t>Castle</t>
  </si>
  <si>
    <t>Black Label</t>
  </si>
  <si>
    <t>Castle Light</t>
  </si>
  <si>
    <t>Heineken</t>
  </si>
  <si>
    <t>Amstel</t>
  </si>
  <si>
    <t>Windhoek Lager</t>
  </si>
  <si>
    <t>Savanna Dry</t>
  </si>
  <si>
    <t>Savanna Light</t>
  </si>
  <si>
    <t>Flying Fish Apple</t>
  </si>
  <si>
    <t>Hunters Dry</t>
  </si>
  <si>
    <t>Hunters Gold</t>
  </si>
  <si>
    <t>Corona</t>
  </si>
  <si>
    <t>Castle Drght 340</t>
  </si>
  <si>
    <t>Castle Drght 500</t>
  </si>
  <si>
    <t>Windhoek Drght Bc</t>
  </si>
  <si>
    <t>340Ml Castle Lite Draught</t>
  </si>
  <si>
    <t>500Ml Castle Lite Draught</t>
  </si>
  <si>
    <t>Mojito 1Ltr new</t>
  </si>
  <si>
    <t>Mojito Crf 250ml new</t>
  </si>
  <si>
    <t>StrawB Daquri 1Ltr new</t>
  </si>
  <si>
    <t>StrawB Daquri Crf 250ml new</t>
  </si>
  <si>
    <t>Pina Colada Crf 1Ltr new</t>
  </si>
  <si>
    <t>Pina Colada Crf 250ml new</t>
  </si>
  <si>
    <t>Cosmopolitan 1Ltr new</t>
  </si>
  <si>
    <t>Cosmopolitan Crf 250ml new</t>
  </si>
  <si>
    <t>Lime Typhoon 1L</t>
  </si>
  <si>
    <t>Lime typhoon 250ml</t>
  </si>
  <si>
    <t>Dom Pedro</t>
  </si>
  <si>
    <t>Kahlua Pedro</t>
  </si>
  <si>
    <t>Amarula Pedro</t>
  </si>
  <si>
    <t>Water Still Small</t>
  </si>
  <si>
    <t>Water Spark Small</t>
  </si>
  <si>
    <t>Water Still Large</t>
  </si>
  <si>
    <t>Water Spark Large</t>
  </si>
  <si>
    <t>OB Soda</t>
  </si>
  <si>
    <t>Large Coke Zero</t>
  </si>
  <si>
    <t>Large  Sprite</t>
  </si>
  <si>
    <t>Glass Fanta Orange</t>
  </si>
  <si>
    <t>appletizer</t>
  </si>
  <si>
    <t>Large Grapetiser Red</t>
  </si>
  <si>
    <t>Fresh Fruit Juice Bottle</t>
  </si>
  <si>
    <t>Cola Tonic &amp; Soda</t>
  </si>
  <si>
    <t>Passion Fr &amp; Lemonade</t>
  </si>
  <si>
    <t>Lime &amp; Soda</t>
  </si>
  <si>
    <t>Bos Sparkling ice tea</t>
  </si>
  <si>
    <t>Heineken 0%</t>
  </si>
  <si>
    <t>Lemon Mint Cooler 1Ltr</t>
  </si>
  <si>
    <t>Lemon Mint Cooler 250ml</t>
  </si>
  <si>
    <t xml:space="preserve">Strawberry Cooler 1Ltr </t>
  </si>
  <si>
    <t>Strawberry Cooler 250ml</t>
  </si>
  <si>
    <t xml:space="preserve">Tropical Cooler 1Ltr </t>
  </si>
  <si>
    <t>Tropical Cooler 250ml</t>
  </si>
  <si>
    <t>Limeade Cooler 1Ltr</t>
  </si>
  <si>
    <t>Limeade Cooler 250ml</t>
  </si>
  <si>
    <t>Cranberry Cooler 1Ltr</t>
  </si>
  <si>
    <t>Cranberry Cooler 250ml</t>
  </si>
  <si>
    <t>Milk Shake Large</t>
  </si>
  <si>
    <t>Hot Chocolate</t>
  </si>
  <si>
    <t>Tea</t>
  </si>
  <si>
    <t>Filter Coffee</t>
  </si>
  <si>
    <t>Espresso</t>
  </si>
  <si>
    <t>Double Espresso</t>
  </si>
  <si>
    <t>Cappuccino</t>
  </si>
  <si>
    <t>Latte</t>
  </si>
  <si>
    <t>Pan oPrawns</t>
  </si>
  <si>
    <t>Kids Platter For 1</t>
  </si>
  <si>
    <t>Saucy Fish Bites</t>
  </si>
  <si>
    <t>Kids Sushi Combo</t>
  </si>
  <si>
    <t>Crispy Calamari</t>
  </si>
  <si>
    <t>Milkshakes Small</t>
  </si>
  <si>
    <t>VALUE COMBO 1 Prawn &amp; Mussel</t>
  </si>
  <si>
    <t>VALUE COMBO 2 Prawn &amp; fish</t>
  </si>
  <si>
    <t>VALUE COMBO 3 Fish bites &amp; calamari strips</t>
  </si>
  <si>
    <t>Paprika Panko Fish Burger</t>
  </si>
  <si>
    <t>Paprika Panko Hake Burger</t>
  </si>
  <si>
    <t>Prawn Burger</t>
  </si>
  <si>
    <t>CALAMARI Burger</t>
  </si>
  <si>
    <t>Halloumi Burger</t>
  </si>
  <si>
    <t>Salmon Ceviche</t>
  </si>
  <si>
    <t>Panko Olives</t>
  </si>
  <si>
    <t>Diemersdal reserve SB</t>
  </si>
  <si>
    <t>Ken Forrester old vine Chenin</t>
  </si>
  <si>
    <t>Rupert &amp; Roshchild Classique</t>
  </si>
  <si>
    <t>Saronsberg brut</t>
  </si>
  <si>
    <t>Stellenbosch Reserve Chardonnay</t>
  </si>
  <si>
    <t>Cape of Good Hope Sauv Blanc</t>
  </si>
  <si>
    <t>Donkiesbaai steen</t>
  </si>
  <si>
    <t>Delaire Graff Rose</t>
  </si>
  <si>
    <t>Credo Chenin Blanc</t>
  </si>
  <si>
    <t>2025 Meal Cost</t>
  </si>
  <si>
    <t>2025 Winter Menu Price</t>
  </si>
  <si>
    <t>GP Rands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</si>
</sst>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&quot;* #,##0.00_-;\-&quot;R&quot;* #,##0.00_-;_-&quot;R&quot;* &quot;-&quot;??_-;_-@_-"/>
    <numFmt numFmtId="165" formatCode="_-[$R-1C09]* #,##0.00_-;\-[$R-1C09]* #,##0.00_-;_-[$R-1C09]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44" fontId="0" fillId="0" borderId="0" xfId="1" applyFont="1"/>
    <xf numFmtId="10" fontId="0" fillId="0" borderId="0" xfId="2" applyNumberFormat="1" applyFont="1"/>
    <xf numFmtId="165" fontId="0" fillId="0" borderId="0" xfId="0" applyNumberFormat="1"/>
    <xf numFmtId="0" fontId="2" fillId="0" borderId="0" xfId="0" applyFont="1"/>
    <xf numFmtId="0" fontId="0" fillId="0" borderId="1" xfId="0" applyBorder="1"/>
    <xf numFmtId="44" fontId="0" fillId="0" borderId="1" xfId="1" applyFont="1" applyBorder="1"/>
    <xf numFmtId="165" fontId="0" fillId="0" borderId="1" xfId="0" applyNumberFormat="1" applyBorder="1"/>
    <xf numFmtId="10" fontId="0" fillId="0" borderId="1" xfId="2" applyNumberFormat="1" applyFont="1" applyBorder="1"/>
    <xf numFmtId="0" fontId="0" fillId="0" borderId="2" xfId="0" applyBorder="1"/>
    <xf numFmtId="44" fontId="0" fillId="0" borderId="2" xfId="1" applyFont="1" applyBorder="1"/>
    <xf numFmtId="165" fontId="0" fillId="0" borderId="2" xfId="0" applyNumberFormat="1" applyBorder="1"/>
    <xf numFmtId="10" fontId="0" fillId="0" borderId="2" xfId="2" applyNumberFormat="1" applyFont="1" applyBorder="1"/>
    <xf numFmtId="0" fontId="3" fillId="0" borderId="3" xfId="0" applyFont="1" applyBorder="1"/>
    <xf numFmtId="165" fontId="3" fillId="0" borderId="4" xfId="0" applyNumberFormat="1" applyFont="1" applyBorder="1" applyAlignment="1">
      <alignment horizontal="center" wrapText="1"/>
    </xf>
    <xf numFmtId="10" fontId="3" fillId="0" borderId="5" xfId="2" applyNumberFormat="1" applyFont="1" applyBorder="1" applyAlignment="1">
      <alignment wrapText="1"/>
    </xf>
    <xf numFmtId="44" fontId="3" fillId="0" borderId="4" xfId="1" applyFont="1" applyBorder="1" applyAlignment="1">
      <alignment wrapText="1"/>
    </xf>
    <xf numFmtId="10" fontId="3" fillId="0" borderId="6" xfId="2" applyNumberFormat="1" applyFont="1" applyBorder="1" applyAlignment="1">
      <alignment wrapText="1"/>
    </xf>
  </cellXfs>
  <cellStyles count="3">
    <cellStyle name="Currency" xfId="1" builtinId="4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5BEAB-5DFB-4C8D-A2B7-6ABB65158A79}">
  <dimension ref="A2:F295"/>
  <sheetViews>
    <sheetView tabSelected="1" topLeftCell="A73" workbookViewId="0">
      <selection activeCell="A87" sqref="A87"/>
    </sheetView>
  </sheetViews>
  <sheetFormatPr defaultRowHeight="14.4" x14ac:dyDescent="0.3"/>
  <cols>
    <col min="1" max="1" width="39.33203125" bestFit="1" customWidth="1"/>
    <col min="2" max="2" width="16.77734375" style="1" customWidth="1"/>
    <col min="3" max="3" width="18.77734375" style="3" customWidth="1"/>
    <col min="4" max="4" width="13.88671875" style="2" bestFit="1" customWidth="1"/>
    <col min="5" max="5" width="9.33203125" customWidth="1"/>
  </cols>
  <sheetData>
    <row r="2" spans="1:6" ht="15" thickBot="1" x14ac:dyDescent="0.35"/>
    <row r="3" spans="1:6" s="4" customFormat="1" ht="42.6" thickBot="1" x14ac:dyDescent="0.45">
      <c r="A3" s="13" t="s">
        <v>0</v>
      </c>
      <c r="B3" s="16" t="s">
        <v>292</v>
      </c>
      <c r="C3" s="14" t="s">
        <v>293</v>
      </c>
      <c r="D3" s="15" t="s">
        <v>1</v>
      </c>
      <c r="E3" s="17" t="s">
        <v>294</v>
      </c>
    </row>
    <row r="4" spans="1:6" x14ac:dyDescent="0.3">
      <c r="A4" s="9" t="s">
        <v>2</v>
      </c>
      <c r="B4" s="10">
        <v>23.27888888888889</v>
      </c>
      <c r="C4" s="11">
        <v>75</v>
      </c>
      <c r="D4" s="12">
        <v>0.64150511111111108</v>
      </c>
      <c r="E4" s="7">
        <f>(C4/1.15)-B4</f>
        <v>41.938502415458942</v>
      </c>
      <c r="F4" s="3"/>
    </row>
    <row r="5" spans="1:6" x14ac:dyDescent="0.3">
      <c r="A5" s="5" t="s">
        <v>3</v>
      </c>
      <c r="B5" s="6">
        <v>69.058888888888887</v>
      </c>
      <c r="C5" s="7">
        <v>195</v>
      </c>
      <c r="D5" s="8">
        <v>0.59095888888888892</v>
      </c>
      <c r="E5" s="7">
        <f>(C5/1.15)-B5</f>
        <v>100.50632850241549</v>
      </c>
    </row>
    <row r="6" spans="1:6" x14ac:dyDescent="0.3">
      <c r="A6" s="5" t="s">
        <v>4</v>
      </c>
      <c r="B6" s="6">
        <v>137.72888888888889</v>
      </c>
      <c r="C6" s="7">
        <v>385</v>
      </c>
      <c r="D6" s="8">
        <v>0.5868133333333333</v>
      </c>
      <c r="E6" s="7">
        <f t="shared" ref="E6:E69" si="0">(C6/1.15)-B6</f>
        <v>197.0537198067633</v>
      </c>
    </row>
    <row r="7" spans="1:6" x14ac:dyDescent="0.3">
      <c r="A7" s="5" t="s">
        <v>5</v>
      </c>
      <c r="B7" s="6">
        <v>21.774444444444438</v>
      </c>
      <c r="C7" s="7">
        <v>70</v>
      </c>
      <c r="D7" s="8">
        <v>0.64072166666666674</v>
      </c>
      <c r="E7" s="7">
        <f t="shared" si="0"/>
        <v>39.095120772946871</v>
      </c>
    </row>
    <row r="8" spans="1:6" x14ac:dyDescent="0.3">
      <c r="A8" s="5" t="s">
        <v>6</v>
      </c>
      <c r="B8" s="6">
        <v>10.984444444444442</v>
      </c>
      <c r="C8" s="7">
        <v>40</v>
      </c>
      <c r="D8" s="8">
        <v>0.68282416666666679</v>
      </c>
      <c r="E8" s="7">
        <f t="shared" si="0"/>
        <v>23.798164251207737</v>
      </c>
    </row>
    <row r="9" spans="1:6" x14ac:dyDescent="0.3">
      <c r="A9" s="5" t="s">
        <v>7</v>
      </c>
      <c r="B9" s="6">
        <v>8.625</v>
      </c>
      <c r="C9" s="7">
        <v>30</v>
      </c>
      <c r="D9" s="8">
        <v>0.66793750000000007</v>
      </c>
      <c r="E9" s="7">
        <f t="shared" si="0"/>
        <v>17.461956521739133</v>
      </c>
    </row>
    <row r="10" spans="1:6" x14ac:dyDescent="0.3">
      <c r="A10" s="5" t="s">
        <v>8</v>
      </c>
      <c r="B10" s="6">
        <v>7.1154999999999999</v>
      </c>
      <c r="C10" s="7">
        <v>30</v>
      </c>
      <c r="D10" s="8">
        <v>0.72605324999999998</v>
      </c>
      <c r="E10" s="7">
        <f t="shared" si="0"/>
        <v>18.971456521739132</v>
      </c>
    </row>
    <row r="11" spans="1:6" x14ac:dyDescent="0.3">
      <c r="A11" s="5" t="s">
        <v>9</v>
      </c>
      <c r="B11" s="6">
        <v>20.378535353535352</v>
      </c>
      <c r="C11" s="7">
        <v>75</v>
      </c>
      <c r="D11" s="8">
        <v>0.68617055555555551</v>
      </c>
      <c r="E11" s="7">
        <f t="shared" si="0"/>
        <v>44.838855950812473</v>
      </c>
    </row>
    <row r="12" spans="1:6" x14ac:dyDescent="0.3">
      <c r="A12" s="5" t="s">
        <v>10</v>
      </c>
      <c r="B12" s="6">
        <v>20.628659094017092</v>
      </c>
      <c r="C12" s="7">
        <v>65</v>
      </c>
      <c r="D12" s="8">
        <v>0.63344459609861936</v>
      </c>
      <c r="E12" s="7">
        <f t="shared" si="0"/>
        <v>35.8930800364177</v>
      </c>
    </row>
    <row r="13" spans="1:6" x14ac:dyDescent="0.3">
      <c r="A13" s="5" t="s">
        <v>11</v>
      </c>
      <c r="B13" s="6">
        <v>16.505954456916285</v>
      </c>
      <c r="C13" s="7">
        <v>60</v>
      </c>
      <c r="D13" s="8">
        <v>0.68226037670436157</v>
      </c>
      <c r="E13" s="7">
        <f t="shared" si="0"/>
        <v>35.66795858656198</v>
      </c>
    </row>
    <row r="14" spans="1:6" x14ac:dyDescent="0.3">
      <c r="A14" s="5" t="s">
        <v>12</v>
      </c>
      <c r="B14" s="6">
        <v>18.974939311594202</v>
      </c>
      <c r="C14" s="7">
        <v>75</v>
      </c>
      <c r="D14" s="8">
        <v>0.70778593460144923</v>
      </c>
      <c r="E14" s="7">
        <f t="shared" si="0"/>
        <v>46.242451992753629</v>
      </c>
    </row>
    <row r="15" spans="1:6" x14ac:dyDescent="0.3">
      <c r="A15" s="5" t="s">
        <v>13</v>
      </c>
      <c r="B15" s="6">
        <v>18.679664682442048</v>
      </c>
      <c r="C15" s="7">
        <v>45</v>
      </c>
      <c r="D15" s="8">
        <v>0.52055527315065409</v>
      </c>
      <c r="E15" s="7">
        <f t="shared" si="0"/>
        <v>20.450770100166647</v>
      </c>
    </row>
    <row r="16" spans="1:6" x14ac:dyDescent="0.3">
      <c r="A16" s="5" t="s">
        <v>14</v>
      </c>
      <c r="B16" s="6">
        <v>24.262414682442049</v>
      </c>
      <c r="C16" s="7">
        <v>85</v>
      </c>
      <c r="D16" s="8">
        <v>0.67031660049152275</v>
      </c>
      <c r="E16" s="7">
        <f t="shared" si="0"/>
        <v>49.650628795818825</v>
      </c>
    </row>
    <row r="17" spans="1:5" x14ac:dyDescent="0.3">
      <c r="A17" s="5" t="s">
        <v>15</v>
      </c>
      <c r="B17" s="6">
        <v>48.5675753648841</v>
      </c>
      <c r="C17" s="7">
        <v>150</v>
      </c>
      <c r="D17" s="8">
        <v>0.62602966969039242</v>
      </c>
      <c r="E17" s="7">
        <f t="shared" si="0"/>
        <v>81.867207243811549</v>
      </c>
    </row>
    <row r="18" spans="1:5" x14ac:dyDescent="0.3">
      <c r="A18" s="5" t="s">
        <v>16</v>
      </c>
      <c r="B18" s="6">
        <v>9.1313600577719303</v>
      </c>
      <c r="C18" s="7">
        <v>45</v>
      </c>
      <c r="D18" s="8">
        <v>0.76562842518385377</v>
      </c>
      <c r="E18" s="7">
        <f t="shared" si="0"/>
        <v>29.999074724836767</v>
      </c>
    </row>
    <row r="19" spans="1:5" x14ac:dyDescent="0.3">
      <c r="A19" s="5" t="s">
        <v>17</v>
      </c>
      <c r="B19" s="6">
        <v>19.325521285134503</v>
      </c>
      <c r="C19" s="7">
        <v>90</v>
      </c>
      <c r="D19" s="8">
        <v>0.75198914350744051</v>
      </c>
      <c r="E19" s="7">
        <f t="shared" si="0"/>
        <v>58.935348280082891</v>
      </c>
    </row>
    <row r="20" spans="1:5" x14ac:dyDescent="0.3">
      <c r="A20" s="5" t="s">
        <v>18</v>
      </c>
      <c r="B20" s="6">
        <v>49.66331552829886</v>
      </c>
      <c r="C20" s="7">
        <v>160</v>
      </c>
      <c r="D20" s="8">
        <v>0.64149294103009258</v>
      </c>
      <c r="E20" s="7">
        <f t="shared" si="0"/>
        <v>89.467119254309864</v>
      </c>
    </row>
    <row r="21" spans="1:5" x14ac:dyDescent="0.3">
      <c r="A21" s="5" t="s">
        <v>19</v>
      </c>
      <c r="B21" s="6">
        <v>47.887204852970591</v>
      </c>
      <c r="C21" s="7">
        <v>160</v>
      </c>
      <c r="D21" s="8">
        <v>0.65431423996761851</v>
      </c>
      <c r="E21" s="7">
        <f t="shared" si="0"/>
        <v>91.243229929638119</v>
      </c>
    </row>
    <row r="22" spans="1:5" x14ac:dyDescent="0.3">
      <c r="A22" s="5" t="s">
        <v>20</v>
      </c>
      <c r="B22" s="6">
        <v>67.442723972739699</v>
      </c>
      <c r="C22" s="7">
        <v>220</v>
      </c>
      <c r="D22" s="8">
        <v>0.64592569914311659</v>
      </c>
      <c r="E22" s="7">
        <f t="shared" si="0"/>
        <v>123.86162385334727</v>
      </c>
    </row>
    <row r="23" spans="1:5" x14ac:dyDescent="0.3">
      <c r="A23" s="5" t="s">
        <v>21</v>
      </c>
      <c r="B23" s="6">
        <v>61.288084358460253</v>
      </c>
      <c r="C23" s="7">
        <v>185</v>
      </c>
      <c r="D23" s="8">
        <v>0.61736358143772119</v>
      </c>
      <c r="E23" s="7">
        <f t="shared" si="0"/>
        <v>99.581480858931059</v>
      </c>
    </row>
    <row r="24" spans="1:5" x14ac:dyDescent="0.3">
      <c r="A24" s="5" t="s">
        <v>22</v>
      </c>
      <c r="B24" s="6">
        <v>83.243084358460266</v>
      </c>
      <c r="C24" s="7">
        <v>275</v>
      </c>
      <c r="D24" s="8">
        <v>0.65037904569446692</v>
      </c>
      <c r="E24" s="7">
        <f t="shared" si="0"/>
        <v>155.88735042414845</v>
      </c>
    </row>
    <row r="25" spans="1:5" x14ac:dyDescent="0.3">
      <c r="A25" s="5" t="s">
        <v>23</v>
      </c>
      <c r="B25" s="6">
        <v>105.56308435846026</v>
      </c>
      <c r="C25" s="7">
        <v>355</v>
      </c>
      <c r="D25" s="8">
        <v>0.65654827483374201</v>
      </c>
      <c r="E25" s="7">
        <f t="shared" si="0"/>
        <v>203.1325678154528</v>
      </c>
    </row>
    <row r="26" spans="1:5" x14ac:dyDescent="0.3">
      <c r="A26" s="5" t="s">
        <v>24</v>
      </c>
      <c r="B26" s="6">
        <v>48.440689701455426</v>
      </c>
      <c r="C26" s="7">
        <v>165</v>
      </c>
      <c r="D26" s="8">
        <v>0.6609151720898121</v>
      </c>
      <c r="E26" s="7">
        <f t="shared" si="0"/>
        <v>95.037571168109793</v>
      </c>
    </row>
    <row r="27" spans="1:5" x14ac:dyDescent="0.3">
      <c r="A27" s="5" t="s">
        <v>25</v>
      </c>
      <c r="B27" s="6">
        <v>67.29846747923321</v>
      </c>
      <c r="C27" s="7">
        <v>235</v>
      </c>
      <c r="D27" s="8">
        <v>0.66923519175100266</v>
      </c>
      <c r="E27" s="7">
        <f t="shared" si="0"/>
        <v>137.04935860772332</v>
      </c>
    </row>
    <row r="28" spans="1:5" x14ac:dyDescent="0.3">
      <c r="A28" s="5" t="s">
        <v>26</v>
      </c>
      <c r="B28" s="6">
        <v>85.961800812566551</v>
      </c>
      <c r="C28" s="7">
        <v>310</v>
      </c>
      <c r="D28" s="8">
        <v>0.6797229679402762</v>
      </c>
      <c r="E28" s="7">
        <f t="shared" si="0"/>
        <v>183.60341657873784</v>
      </c>
    </row>
    <row r="29" spans="1:5" x14ac:dyDescent="0.3">
      <c r="A29" s="5" t="s">
        <v>27</v>
      </c>
      <c r="B29" s="6">
        <v>64.014023034788764</v>
      </c>
      <c r="C29" s="7">
        <v>210</v>
      </c>
      <c r="D29" s="8">
        <v>0.64792287330866172</v>
      </c>
      <c r="E29" s="7">
        <f t="shared" si="0"/>
        <v>118.59467261738517</v>
      </c>
    </row>
    <row r="30" spans="1:5" x14ac:dyDescent="0.3">
      <c r="A30" s="5" t="s">
        <v>28</v>
      </c>
      <c r="B30" s="6">
        <v>90.293467479233229</v>
      </c>
      <c r="C30" s="7">
        <v>300</v>
      </c>
      <c r="D30" s="8">
        <v>0.65237015020495204</v>
      </c>
      <c r="E30" s="7">
        <f t="shared" si="0"/>
        <v>170.57609773815807</v>
      </c>
    </row>
    <row r="31" spans="1:5" x14ac:dyDescent="0.3">
      <c r="A31" s="5" t="s">
        <v>29</v>
      </c>
      <c r="B31" s="6">
        <v>14.43</v>
      </c>
      <c r="C31" s="7">
        <v>45</v>
      </c>
      <c r="D31" s="8">
        <v>0.62962999999999991</v>
      </c>
      <c r="E31" s="7">
        <f t="shared" si="0"/>
        <v>24.700434782608696</v>
      </c>
    </row>
    <row r="32" spans="1:5" x14ac:dyDescent="0.3">
      <c r="A32" s="5" t="s">
        <v>30</v>
      </c>
      <c r="B32" s="6">
        <v>54.031245257010987</v>
      </c>
      <c r="C32" s="7">
        <v>170</v>
      </c>
      <c r="D32" s="8">
        <v>0.63290536310677825</v>
      </c>
      <c r="E32" s="7">
        <f t="shared" si="0"/>
        <v>93.794841699510755</v>
      </c>
    </row>
    <row r="33" spans="1:5" x14ac:dyDescent="0.3">
      <c r="A33" s="5" t="s">
        <v>31</v>
      </c>
      <c r="B33" s="6">
        <v>96.977911923677667</v>
      </c>
      <c r="C33" s="7">
        <v>315</v>
      </c>
      <c r="D33" s="8">
        <v>0.64441432294651524</v>
      </c>
      <c r="E33" s="7">
        <f t="shared" si="0"/>
        <v>176.93513155458322</v>
      </c>
    </row>
    <row r="34" spans="1:5" x14ac:dyDescent="0.3">
      <c r="A34" s="5" t="s">
        <v>32</v>
      </c>
      <c r="B34" s="6">
        <v>22.58111111111111</v>
      </c>
      <c r="C34" s="7">
        <v>70</v>
      </c>
      <c r="D34" s="8">
        <v>0.6274116666666667</v>
      </c>
      <c r="E34" s="7">
        <f t="shared" si="0"/>
        <v>38.288454106280199</v>
      </c>
    </row>
    <row r="35" spans="1:5" x14ac:dyDescent="0.3">
      <c r="A35" s="5" t="s">
        <v>33</v>
      </c>
      <c r="B35" s="6">
        <v>22.498059444807321</v>
      </c>
      <c r="C35" s="7">
        <v>85</v>
      </c>
      <c r="D35" s="8">
        <v>0.69429107460291228</v>
      </c>
      <c r="E35" s="7">
        <f t="shared" si="0"/>
        <v>51.41498403345355</v>
      </c>
    </row>
    <row r="36" spans="1:5" x14ac:dyDescent="0.3">
      <c r="A36" s="5" t="s">
        <v>34</v>
      </c>
      <c r="B36" s="6">
        <v>32.915374495827727</v>
      </c>
      <c r="C36" s="7">
        <v>100</v>
      </c>
      <c r="D36" s="8">
        <v>0.61982742457318973</v>
      </c>
      <c r="E36" s="7">
        <f t="shared" si="0"/>
        <v>54.04114724330271</v>
      </c>
    </row>
    <row r="37" spans="1:5" x14ac:dyDescent="0.3">
      <c r="A37" s="5" t="s">
        <v>35</v>
      </c>
      <c r="B37" s="6">
        <v>39.507893628480787</v>
      </c>
      <c r="C37" s="7">
        <v>120</v>
      </c>
      <c r="D37" s="8">
        <v>0.61973652382587241</v>
      </c>
      <c r="E37" s="7">
        <f t="shared" si="0"/>
        <v>64.839932458475744</v>
      </c>
    </row>
    <row r="38" spans="1:5" x14ac:dyDescent="0.3">
      <c r="A38" s="5" t="s">
        <v>36</v>
      </c>
      <c r="B38" s="6">
        <v>25.498059444807321</v>
      </c>
      <c r="C38" s="7">
        <v>85</v>
      </c>
      <c r="D38" s="8">
        <v>0.65352636872055936</v>
      </c>
      <c r="E38" s="7">
        <f t="shared" si="0"/>
        <v>48.41498403345355</v>
      </c>
    </row>
    <row r="39" spans="1:5" x14ac:dyDescent="0.3">
      <c r="A39" s="5" t="s">
        <v>37</v>
      </c>
      <c r="B39" s="6">
        <v>37.668097710113436</v>
      </c>
      <c r="C39" s="7">
        <v>100</v>
      </c>
      <c r="D39" s="8">
        <v>0.56493347144818973</v>
      </c>
      <c r="E39" s="7">
        <f t="shared" si="0"/>
        <v>49.288424029017001</v>
      </c>
    </row>
    <row r="40" spans="1:5" x14ac:dyDescent="0.3">
      <c r="A40" s="5" t="s">
        <v>38</v>
      </c>
      <c r="B40" s="6">
        <v>47.007893628480787</v>
      </c>
      <c r="C40" s="7">
        <v>120</v>
      </c>
      <c r="D40" s="8">
        <v>0.54754902382587245</v>
      </c>
      <c r="E40" s="7">
        <f t="shared" si="0"/>
        <v>57.339932458475744</v>
      </c>
    </row>
    <row r="41" spans="1:5" x14ac:dyDescent="0.3">
      <c r="A41" s="5" t="s">
        <v>39</v>
      </c>
      <c r="B41" s="6">
        <v>22.086190493618595</v>
      </c>
      <c r="C41" s="7">
        <v>75</v>
      </c>
      <c r="D41" s="8">
        <v>0.65987266639827358</v>
      </c>
      <c r="E41" s="7">
        <f t="shared" si="0"/>
        <v>43.131200810729233</v>
      </c>
    </row>
    <row r="42" spans="1:5" x14ac:dyDescent="0.3">
      <c r="A42" s="5" t="s">
        <v>40</v>
      </c>
      <c r="B42" s="6">
        <v>29.512736885371169</v>
      </c>
      <c r="C42" s="7">
        <v>90</v>
      </c>
      <c r="D42" s="8">
        <v>0.62125320997106992</v>
      </c>
      <c r="E42" s="7">
        <f t="shared" si="0"/>
        <v>48.748132679846222</v>
      </c>
    </row>
    <row r="43" spans="1:5" x14ac:dyDescent="0.3">
      <c r="A43" s="5" t="s">
        <v>41</v>
      </c>
      <c r="B43" s="6">
        <v>35.224283277123746</v>
      </c>
      <c r="C43" s="7">
        <v>100</v>
      </c>
      <c r="D43" s="8">
        <v>0.59315952814922068</v>
      </c>
      <c r="E43" s="7">
        <f t="shared" si="0"/>
        <v>51.732238462006691</v>
      </c>
    </row>
    <row r="44" spans="1:5" x14ac:dyDescent="0.3">
      <c r="A44" s="5" t="s">
        <v>42</v>
      </c>
      <c r="B44" s="6">
        <v>23.586190493618595</v>
      </c>
      <c r="C44" s="7">
        <v>75</v>
      </c>
      <c r="D44" s="8">
        <v>0.63677266639827357</v>
      </c>
      <c r="E44" s="7">
        <f t="shared" si="0"/>
        <v>41.631200810729233</v>
      </c>
    </row>
    <row r="45" spans="1:5" x14ac:dyDescent="0.3">
      <c r="A45" s="5" t="s">
        <v>43</v>
      </c>
      <c r="B45" s="6">
        <v>34.012736885371169</v>
      </c>
      <c r="C45" s="7">
        <v>90</v>
      </c>
      <c r="D45" s="8">
        <v>0.56350320997106995</v>
      </c>
      <c r="E45" s="7">
        <f t="shared" si="0"/>
        <v>44.248132679846222</v>
      </c>
    </row>
    <row r="46" spans="1:5" x14ac:dyDescent="0.3">
      <c r="A46" s="5" t="s">
        <v>44</v>
      </c>
      <c r="B46" s="6">
        <v>39.724283277123746</v>
      </c>
      <c r="C46" s="7">
        <v>100</v>
      </c>
      <c r="D46" s="8">
        <v>0.54118452814922069</v>
      </c>
      <c r="E46" s="7">
        <f t="shared" si="0"/>
        <v>47.232238462006691</v>
      </c>
    </row>
    <row r="47" spans="1:5" x14ac:dyDescent="0.3">
      <c r="A47" s="5" t="s">
        <v>45</v>
      </c>
      <c r="B47" s="6">
        <v>56.357204852970582</v>
      </c>
      <c r="C47" s="7">
        <v>185</v>
      </c>
      <c r="D47" s="8">
        <v>0.64814826159361605</v>
      </c>
      <c r="E47" s="7">
        <f t="shared" si="0"/>
        <v>104.51236036442073</v>
      </c>
    </row>
    <row r="48" spans="1:5" x14ac:dyDescent="0.3">
      <c r="A48" s="5" t="s">
        <v>46</v>
      </c>
      <c r="B48" s="6">
        <v>60.357204852970582</v>
      </c>
      <c r="C48" s="7">
        <v>200</v>
      </c>
      <c r="D48" s="8">
        <v>0.65143714197409486</v>
      </c>
      <c r="E48" s="7">
        <f t="shared" si="0"/>
        <v>113.55583862529029</v>
      </c>
    </row>
    <row r="49" spans="1:5" x14ac:dyDescent="0.3">
      <c r="A49" s="5" t="s">
        <v>47</v>
      </c>
      <c r="B49" s="6">
        <v>78.357204852970597</v>
      </c>
      <c r="C49" s="7">
        <v>245</v>
      </c>
      <c r="D49" s="8">
        <v>0.6306017485502815</v>
      </c>
      <c r="E49" s="7">
        <f t="shared" si="0"/>
        <v>134.68627340789899</v>
      </c>
    </row>
    <row r="50" spans="1:5" x14ac:dyDescent="0.3">
      <c r="A50" s="5" t="s">
        <v>48</v>
      </c>
      <c r="B50" s="6">
        <v>84.357204852970597</v>
      </c>
      <c r="C50" s="7">
        <v>275</v>
      </c>
      <c r="D50" s="8">
        <v>0.64569973961752347</v>
      </c>
      <c r="E50" s="7">
        <f t="shared" si="0"/>
        <v>154.77322992963812</v>
      </c>
    </row>
    <row r="51" spans="1:5" x14ac:dyDescent="0.3">
      <c r="A51" s="5" t="s">
        <v>49</v>
      </c>
      <c r="B51" s="6">
        <v>98.214023034788767</v>
      </c>
      <c r="C51" s="7">
        <v>325</v>
      </c>
      <c r="D51" s="8">
        <v>0.65096247198405832</v>
      </c>
      <c r="E51" s="7">
        <f t="shared" si="0"/>
        <v>184.39467261738517</v>
      </c>
    </row>
    <row r="52" spans="1:5" x14ac:dyDescent="0.3">
      <c r="A52" s="5" t="s">
        <v>50</v>
      </c>
      <c r="B52" s="6">
        <v>49.327081664564794</v>
      </c>
      <c r="C52" s="7">
        <v>170</v>
      </c>
      <c r="D52" s="8">
        <v>0.66486600398486861</v>
      </c>
      <c r="E52" s="7">
        <f t="shared" si="0"/>
        <v>98.499005291956962</v>
      </c>
    </row>
    <row r="53" spans="1:5" x14ac:dyDescent="0.3">
      <c r="A53" s="5" t="s">
        <v>51</v>
      </c>
      <c r="B53" s="6">
        <v>115.11267057550639</v>
      </c>
      <c r="C53" s="7">
        <v>325</v>
      </c>
      <c r="D53" s="8">
        <v>0.59090727841627722</v>
      </c>
      <c r="E53" s="7">
        <f t="shared" si="0"/>
        <v>167.49602507666754</v>
      </c>
    </row>
    <row r="54" spans="1:5" x14ac:dyDescent="0.3">
      <c r="A54" s="5" t="s">
        <v>52</v>
      </c>
      <c r="B54" s="6">
        <v>52.915125142825659</v>
      </c>
      <c r="C54" s="7">
        <v>215</v>
      </c>
      <c r="D54" s="8">
        <v>0.71573502539551792</v>
      </c>
      <c r="E54" s="7">
        <f t="shared" si="0"/>
        <v>134.04139659630476</v>
      </c>
    </row>
    <row r="55" spans="1:5" x14ac:dyDescent="0.3">
      <c r="A55" s="5" t="s">
        <v>53</v>
      </c>
      <c r="B55" s="6">
        <v>43.971499222822949</v>
      </c>
      <c r="C55" s="7">
        <v>135</v>
      </c>
      <c r="D55" s="8">
        <v>0.62379939553807029</v>
      </c>
      <c r="E55" s="7">
        <f t="shared" si="0"/>
        <v>73.419805125003137</v>
      </c>
    </row>
    <row r="56" spans="1:5" x14ac:dyDescent="0.3">
      <c r="A56" s="5" t="s">
        <v>54</v>
      </c>
      <c r="B56" s="6">
        <v>80.423975410857139</v>
      </c>
      <c r="C56" s="7">
        <v>250</v>
      </c>
      <c r="D56" s="8">
        <v>0.62844123360184001</v>
      </c>
      <c r="E56" s="7">
        <f t="shared" si="0"/>
        <v>136.96732893696895</v>
      </c>
    </row>
    <row r="57" spans="1:5" x14ac:dyDescent="0.3">
      <c r="A57" s="5" t="s">
        <v>55</v>
      </c>
      <c r="B57" s="6">
        <v>51.703021179501192</v>
      </c>
      <c r="C57" s="7">
        <v>185</v>
      </c>
      <c r="D57" s="8">
        <v>0.6772054623658168</v>
      </c>
      <c r="E57" s="7">
        <f t="shared" si="0"/>
        <v>109.16654403789012</v>
      </c>
    </row>
    <row r="58" spans="1:5" x14ac:dyDescent="0.3">
      <c r="A58" s="5" t="s">
        <v>56</v>
      </c>
      <c r="B58" s="6">
        <v>49.868390419980891</v>
      </c>
      <c r="C58" s="7">
        <v>165</v>
      </c>
      <c r="D58" s="8">
        <v>0.65092126706013376</v>
      </c>
      <c r="E58" s="7">
        <f t="shared" si="0"/>
        <v>93.609870449584321</v>
      </c>
    </row>
    <row r="59" spans="1:5" x14ac:dyDescent="0.3">
      <c r="A59" s="5" t="s">
        <v>57</v>
      </c>
      <c r="B59" s="6">
        <v>73.662204852970589</v>
      </c>
      <c r="C59" s="7">
        <v>235</v>
      </c>
      <c r="D59" s="8">
        <v>0.63795809955242111</v>
      </c>
      <c r="E59" s="7">
        <f t="shared" si="0"/>
        <v>130.68562123398596</v>
      </c>
    </row>
    <row r="60" spans="1:5" x14ac:dyDescent="0.3">
      <c r="A60" s="5" t="s">
        <v>58</v>
      </c>
      <c r="B60" s="6">
        <v>46.455617906583633</v>
      </c>
      <c r="C60" s="7">
        <v>165</v>
      </c>
      <c r="D60" s="8">
        <v>0.67481067465391464</v>
      </c>
      <c r="E60" s="7">
        <f t="shared" si="0"/>
        <v>97.022642962981593</v>
      </c>
    </row>
    <row r="61" spans="1:5" x14ac:dyDescent="0.3">
      <c r="A61" s="5" t="s">
        <v>59</v>
      </c>
      <c r="B61" s="6">
        <v>48.472356368122092</v>
      </c>
      <c r="C61" s="7">
        <v>185</v>
      </c>
      <c r="D61" s="8">
        <v>0.69737528862064313</v>
      </c>
      <c r="E61" s="7">
        <f t="shared" si="0"/>
        <v>112.39720884926922</v>
      </c>
    </row>
    <row r="62" spans="1:5" x14ac:dyDescent="0.3">
      <c r="A62" s="5" t="s">
        <v>60</v>
      </c>
      <c r="B62" s="6">
        <v>52.896354512834527</v>
      </c>
      <c r="C62" s="7">
        <v>185</v>
      </c>
      <c r="D62" s="8">
        <v>0.66975519209554657</v>
      </c>
      <c r="E62" s="7">
        <f t="shared" si="0"/>
        <v>107.97321070455678</v>
      </c>
    </row>
    <row r="63" spans="1:5" x14ac:dyDescent="0.3">
      <c r="A63" s="5" t="s">
        <v>61</v>
      </c>
      <c r="B63" s="6">
        <v>51.061723753314226</v>
      </c>
      <c r="C63" s="7">
        <v>165</v>
      </c>
      <c r="D63" s="8">
        <v>0.64256793372680043</v>
      </c>
      <c r="E63" s="7">
        <f t="shared" si="0"/>
        <v>92.416537116250993</v>
      </c>
    </row>
    <row r="64" spans="1:5" x14ac:dyDescent="0.3">
      <c r="A64" s="5" t="s">
        <v>62</v>
      </c>
      <c r="B64" s="6">
        <v>120.85553818630393</v>
      </c>
      <c r="C64" s="7">
        <v>365</v>
      </c>
      <c r="D64" s="8">
        <v>0.61756672162964099</v>
      </c>
      <c r="E64" s="7">
        <f t="shared" si="0"/>
        <v>196.53576616152219</v>
      </c>
    </row>
    <row r="65" spans="1:5" x14ac:dyDescent="0.3">
      <c r="A65" s="5" t="s">
        <v>63</v>
      </c>
      <c r="B65" s="6">
        <v>119.66220485297059</v>
      </c>
      <c r="C65" s="7">
        <v>370</v>
      </c>
      <c r="D65" s="8">
        <v>0.62645987404005132</v>
      </c>
      <c r="E65" s="7">
        <f t="shared" si="0"/>
        <v>202.07692558181202</v>
      </c>
    </row>
    <row r="66" spans="1:5" x14ac:dyDescent="0.3">
      <c r="A66" s="5" t="s">
        <v>64</v>
      </c>
      <c r="B66" s="6">
        <v>75.585538186303921</v>
      </c>
      <c r="C66" s="7">
        <v>225</v>
      </c>
      <c r="D66" s="8">
        <v>0.61199423731030644</v>
      </c>
      <c r="E66" s="7">
        <f t="shared" si="0"/>
        <v>120.06663572673958</v>
      </c>
    </row>
    <row r="67" spans="1:5" x14ac:dyDescent="0.3">
      <c r="A67" s="5" t="s">
        <v>65</v>
      </c>
      <c r="B67" s="6">
        <v>49.784089981447117</v>
      </c>
      <c r="C67" s="7">
        <v>180</v>
      </c>
      <c r="D67" s="8">
        <v>0.68055208928571431</v>
      </c>
      <c r="E67" s="7">
        <f t="shared" si="0"/>
        <v>106.73764914898766</v>
      </c>
    </row>
    <row r="68" spans="1:5" x14ac:dyDescent="0.3">
      <c r="A68" s="5" t="s">
        <v>66</v>
      </c>
      <c r="B68" s="6">
        <v>74.770552037584409</v>
      </c>
      <c r="C68" s="7">
        <v>235</v>
      </c>
      <c r="D68" s="8">
        <v>0.63251069104931923</v>
      </c>
      <c r="E68" s="7">
        <f t="shared" si="0"/>
        <v>129.57727404937214</v>
      </c>
    </row>
    <row r="69" spans="1:5" x14ac:dyDescent="0.3">
      <c r="A69" s="5" t="s">
        <v>67</v>
      </c>
      <c r="B69" s="6">
        <v>123.55836903243377</v>
      </c>
      <c r="C69" s="7">
        <v>375</v>
      </c>
      <c r="D69" s="8">
        <v>0.61944022338010396</v>
      </c>
      <c r="E69" s="7">
        <f t="shared" si="0"/>
        <v>202.52858748930541</v>
      </c>
    </row>
    <row r="70" spans="1:5" x14ac:dyDescent="0.3">
      <c r="A70" s="5" t="s">
        <v>68</v>
      </c>
      <c r="B70" s="6">
        <v>148.16514407516883</v>
      </c>
      <c r="C70" s="7">
        <v>455</v>
      </c>
      <c r="D70" s="8">
        <v>0.62388848042457146</v>
      </c>
      <c r="E70" s="7">
        <f t="shared" ref="E70:E133" si="1">(C70/1.15)-B70</f>
        <v>247.48702983787467</v>
      </c>
    </row>
    <row r="71" spans="1:5" x14ac:dyDescent="0.3">
      <c r="A71" s="5" t="s">
        <v>69</v>
      </c>
      <c r="B71" s="6">
        <v>184.24921480107196</v>
      </c>
      <c r="C71" s="7">
        <v>575</v>
      </c>
      <c r="D71" s="8">
        <v>0.62989940331262939</v>
      </c>
      <c r="E71" s="7">
        <f t="shared" si="1"/>
        <v>315.7507851989281</v>
      </c>
    </row>
    <row r="72" spans="1:5" x14ac:dyDescent="0.3">
      <c r="A72" s="5" t="s">
        <v>70</v>
      </c>
      <c r="B72" s="6">
        <v>233.78820042288748</v>
      </c>
      <c r="C72" s="7">
        <v>695</v>
      </c>
      <c r="D72" s="8">
        <v>0.61147428562815098</v>
      </c>
      <c r="E72" s="7">
        <f t="shared" si="1"/>
        <v>370.55962566406913</v>
      </c>
    </row>
    <row r="73" spans="1:5" x14ac:dyDescent="0.3">
      <c r="A73" s="5" t="s">
        <v>71</v>
      </c>
      <c r="B73" s="6">
        <v>86.128315964081693</v>
      </c>
      <c r="C73" s="7">
        <v>325</v>
      </c>
      <c r="D73" s="8">
        <v>0.69391321557380192</v>
      </c>
      <c r="E73" s="7">
        <f t="shared" si="1"/>
        <v>196.48037968809223</v>
      </c>
    </row>
    <row r="74" spans="1:5" x14ac:dyDescent="0.3">
      <c r="A74" s="5" t="s">
        <v>72</v>
      </c>
      <c r="B74" s="6">
        <v>13.166552136752136</v>
      </c>
      <c r="C74" s="7">
        <v>40</v>
      </c>
      <c r="D74" s="8">
        <v>0.61981580705128203</v>
      </c>
      <c r="E74" s="7">
        <f t="shared" si="1"/>
        <v>21.616056558900041</v>
      </c>
    </row>
    <row r="75" spans="1:5" x14ac:dyDescent="0.3">
      <c r="A75" s="5" t="s">
        <v>73</v>
      </c>
      <c r="B75" s="6">
        <v>19.70944444444444</v>
      </c>
      <c r="C75" s="7">
        <v>70</v>
      </c>
      <c r="D75" s="8">
        <v>0.67479416666666669</v>
      </c>
      <c r="E75" s="7">
        <f t="shared" si="1"/>
        <v>41.160120772946868</v>
      </c>
    </row>
    <row r="76" spans="1:5" x14ac:dyDescent="0.3">
      <c r="A76" s="5" t="s">
        <v>74</v>
      </c>
      <c r="B76" s="6">
        <v>12.946000000000002</v>
      </c>
      <c r="C76" s="7">
        <v>35</v>
      </c>
      <c r="D76" s="8">
        <v>0.5727819999999999</v>
      </c>
      <c r="E76" s="7">
        <f t="shared" si="1"/>
        <v>17.488782608695654</v>
      </c>
    </row>
    <row r="77" spans="1:5" x14ac:dyDescent="0.3">
      <c r="A77" s="5" t="s">
        <v>75</v>
      </c>
      <c r="B77" s="6">
        <v>12.899000000000001</v>
      </c>
      <c r="C77" s="7">
        <v>35</v>
      </c>
      <c r="D77" s="8">
        <v>0.57433299999999998</v>
      </c>
      <c r="E77" s="7">
        <f t="shared" si="1"/>
        <v>17.535782608695655</v>
      </c>
    </row>
    <row r="78" spans="1:5" x14ac:dyDescent="0.3">
      <c r="A78" s="5" t="s">
        <v>76</v>
      </c>
      <c r="B78" s="6">
        <v>8.0359999999999996</v>
      </c>
      <c r="C78" s="7">
        <v>35</v>
      </c>
      <c r="D78" s="8">
        <v>0.73481200000000002</v>
      </c>
      <c r="E78" s="7">
        <f t="shared" si="1"/>
        <v>22.398782608695655</v>
      </c>
    </row>
    <row r="79" spans="1:5" x14ac:dyDescent="0.3">
      <c r="A79" s="5" t="s">
        <v>77</v>
      </c>
      <c r="B79" s="6">
        <v>14.858333333333334</v>
      </c>
      <c r="C79" s="7">
        <v>55</v>
      </c>
      <c r="D79" s="8">
        <v>0.687975</v>
      </c>
      <c r="E79" s="7">
        <f t="shared" si="1"/>
        <v>32.967753623188408</v>
      </c>
    </row>
    <row r="80" spans="1:5" x14ac:dyDescent="0.3">
      <c r="A80" s="5" t="s">
        <v>78</v>
      </c>
      <c r="B80" s="6">
        <v>6.4664197530864209</v>
      </c>
      <c r="C80" s="7">
        <v>20</v>
      </c>
      <c r="D80" s="8">
        <v>0.62656425925925918</v>
      </c>
      <c r="E80" s="7">
        <f t="shared" si="1"/>
        <v>10.92488459473967</v>
      </c>
    </row>
    <row r="81" spans="1:5" x14ac:dyDescent="0.3">
      <c r="A81" s="5" t="s">
        <v>79</v>
      </c>
      <c r="B81" s="6">
        <v>3.9027777777777777</v>
      </c>
      <c r="C81" s="7">
        <v>35</v>
      </c>
      <c r="D81" s="8">
        <v>0.87120833333333336</v>
      </c>
      <c r="E81" s="7">
        <f t="shared" si="1"/>
        <v>26.532004830917877</v>
      </c>
    </row>
    <row r="82" spans="1:5" x14ac:dyDescent="0.3">
      <c r="A82" s="5" t="s">
        <v>80</v>
      </c>
      <c r="B82" s="6">
        <v>6.65</v>
      </c>
      <c r="C82" s="7">
        <v>20</v>
      </c>
      <c r="D82" s="8">
        <v>0.61596249999999997</v>
      </c>
      <c r="E82" s="7">
        <f t="shared" si="1"/>
        <v>10.741304347826089</v>
      </c>
    </row>
    <row r="83" spans="1:5" x14ac:dyDescent="0.3">
      <c r="A83" s="5" t="s">
        <v>81</v>
      </c>
      <c r="B83" s="6">
        <v>7.1298523536956866</v>
      </c>
      <c r="C83" s="7">
        <v>35</v>
      </c>
      <c r="D83" s="8">
        <v>0.76471487232804236</v>
      </c>
      <c r="E83" s="7">
        <f t="shared" si="1"/>
        <v>23.30493025499997</v>
      </c>
    </row>
    <row r="84" spans="1:5" x14ac:dyDescent="0.3">
      <c r="A84" s="5" t="s">
        <v>82</v>
      </c>
      <c r="B84" s="6">
        <v>9.3417571156004495</v>
      </c>
      <c r="C84" s="7">
        <v>55</v>
      </c>
      <c r="D84" s="8">
        <v>0.80382310057239059</v>
      </c>
      <c r="E84" s="7">
        <f t="shared" si="1"/>
        <v>38.484329840921291</v>
      </c>
    </row>
    <row r="85" spans="1:5" x14ac:dyDescent="0.3">
      <c r="A85" s="5" t="s">
        <v>83</v>
      </c>
      <c r="B85" s="6">
        <v>17.808423782267116</v>
      </c>
      <c r="C85" s="7">
        <v>65</v>
      </c>
      <c r="D85" s="8">
        <v>0.68355800817663814</v>
      </c>
      <c r="E85" s="7">
        <f t="shared" si="1"/>
        <v>38.713315348167669</v>
      </c>
    </row>
    <row r="86" spans="1:5" x14ac:dyDescent="0.3">
      <c r="A86" s="5" t="s">
        <v>84</v>
      </c>
      <c r="B86" s="6">
        <v>11.473085448933782</v>
      </c>
      <c r="C86" s="7">
        <v>50</v>
      </c>
      <c r="D86" s="8">
        <v>0.73497172612962958</v>
      </c>
      <c r="E86" s="7">
        <f t="shared" si="1"/>
        <v>32.005175420631438</v>
      </c>
    </row>
    <row r="87" spans="1:5" x14ac:dyDescent="0.3">
      <c r="A87" s="5" t="s">
        <v>85</v>
      </c>
      <c r="B87" s="6">
        <v>21.126418782267116</v>
      </c>
      <c r="C87" s="7">
        <v>70</v>
      </c>
      <c r="D87" s="8">
        <v>0.65141409009259255</v>
      </c>
      <c r="E87" s="7">
        <f t="shared" si="1"/>
        <v>39.743146435124196</v>
      </c>
    </row>
    <row r="88" spans="1:5" x14ac:dyDescent="0.3">
      <c r="A88" s="5" t="s">
        <v>86</v>
      </c>
      <c r="B88" s="6">
        <v>27.104916639409971</v>
      </c>
      <c r="C88" s="7">
        <v>85</v>
      </c>
      <c r="D88" s="8">
        <v>0.63169201507625283</v>
      </c>
      <c r="E88" s="7">
        <f t="shared" si="1"/>
        <v>46.808126838850903</v>
      </c>
    </row>
    <row r="89" spans="1:5" x14ac:dyDescent="0.3">
      <c r="A89" s="5" t="s">
        <v>87</v>
      </c>
      <c r="B89" s="6">
        <v>52.791706639409966</v>
      </c>
      <c r="C89" s="7">
        <v>160</v>
      </c>
      <c r="D89" s="8">
        <v>0.61890986769675926</v>
      </c>
      <c r="E89" s="7">
        <f t="shared" si="1"/>
        <v>86.33872814319875</v>
      </c>
    </row>
    <row r="90" spans="1:5" x14ac:dyDescent="0.3">
      <c r="A90" s="5" t="s">
        <v>88</v>
      </c>
      <c r="B90" s="6">
        <v>32.398523548348983</v>
      </c>
      <c r="C90" s="7">
        <v>110</v>
      </c>
      <c r="D90" s="8">
        <v>0.65981550274233569</v>
      </c>
      <c r="E90" s="7">
        <f t="shared" si="1"/>
        <v>63.253650364694501</v>
      </c>
    </row>
    <row r="91" spans="1:5" x14ac:dyDescent="0.3">
      <c r="A91" s="5" t="s">
        <v>89</v>
      </c>
      <c r="B91" s="6">
        <v>63.598523548348979</v>
      </c>
      <c r="C91" s="7">
        <v>205</v>
      </c>
      <c r="D91" s="8">
        <v>0.64167661122759478</v>
      </c>
      <c r="E91" s="7">
        <f t="shared" si="1"/>
        <v>114.66234601686843</v>
      </c>
    </row>
    <row r="92" spans="1:5" x14ac:dyDescent="0.3">
      <c r="A92" s="5" t="s">
        <v>90</v>
      </c>
      <c r="B92" s="6">
        <v>94.798523548348996</v>
      </c>
      <c r="C92" s="7">
        <v>295</v>
      </c>
      <c r="D92" s="8">
        <v>0.62883967898866744</v>
      </c>
      <c r="E92" s="7">
        <f t="shared" si="1"/>
        <v>161.7232155820858</v>
      </c>
    </row>
    <row r="93" spans="1:5" x14ac:dyDescent="0.3">
      <c r="A93" s="5" t="s">
        <v>91</v>
      </c>
      <c r="B93" s="6">
        <v>7.43441109267276</v>
      </c>
      <c r="C93" s="7">
        <v>50</v>
      </c>
      <c r="D93" s="8">
        <v>0.82826510375925921</v>
      </c>
      <c r="E93" s="7">
        <f t="shared" si="1"/>
        <v>36.043849776892458</v>
      </c>
    </row>
    <row r="94" spans="1:5" x14ac:dyDescent="0.3">
      <c r="A94" s="5" t="s">
        <v>92</v>
      </c>
      <c r="B94" s="6">
        <v>13.948039020362355</v>
      </c>
      <c r="C94" s="7">
        <v>85</v>
      </c>
      <c r="D94" s="8">
        <v>0.81047076389978212</v>
      </c>
      <c r="E94" s="7">
        <f t="shared" si="1"/>
        <v>59.965004457898516</v>
      </c>
    </row>
    <row r="95" spans="1:5" x14ac:dyDescent="0.3">
      <c r="A95" s="5" t="s">
        <v>93</v>
      </c>
      <c r="B95" s="6">
        <v>12.967744426006092</v>
      </c>
      <c r="C95" s="7">
        <v>60</v>
      </c>
      <c r="D95" s="8">
        <v>0.75037091979938275</v>
      </c>
      <c r="E95" s="7">
        <f t="shared" si="1"/>
        <v>39.206168617472173</v>
      </c>
    </row>
    <row r="96" spans="1:5" x14ac:dyDescent="0.3">
      <c r="A96" s="5" t="s">
        <v>94</v>
      </c>
      <c r="B96" s="6">
        <v>25.014705687029018</v>
      </c>
      <c r="C96" s="7">
        <v>95</v>
      </c>
      <c r="D96" s="8">
        <v>0.69587384138401565</v>
      </c>
      <c r="E96" s="7">
        <f t="shared" si="1"/>
        <v>57.5939899651449</v>
      </c>
    </row>
    <row r="97" spans="1:5" x14ac:dyDescent="0.3">
      <c r="A97" s="5" t="s">
        <v>95</v>
      </c>
      <c r="B97" s="6">
        <v>21.332022997434663</v>
      </c>
      <c r="C97" s="7">
        <v>75</v>
      </c>
      <c r="D97" s="8">
        <v>0.67148684583950624</v>
      </c>
      <c r="E97" s="7">
        <f t="shared" si="1"/>
        <v>43.885368306913165</v>
      </c>
    </row>
    <row r="98" spans="1:5" x14ac:dyDescent="0.3">
      <c r="A98" s="5" t="s">
        <v>96</v>
      </c>
      <c r="B98" s="6">
        <v>41.743262829886163</v>
      </c>
      <c r="C98" s="7">
        <v>140</v>
      </c>
      <c r="D98" s="8">
        <v>0.65561808165343916</v>
      </c>
      <c r="E98" s="7">
        <f t="shared" si="1"/>
        <v>79.995867604896461</v>
      </c>
    </row>
    <row r="99" spans="1:5" x14ac:dyDescent="0.3">
      <c r="A99" s="5" t="s">
        <v>97</v>
      </c>
      <c r="B99" s="6">
        <v>41.893897750521077</v>
      </c>
      <c r="C99" s="7">
        <v>140</v>
      </c>
      <c r="D99" s="8">
        <v>0.65437534355820115</v>
      </c>
      <c r="E99" s="7">
        <f t="shared" si="1"/>
        <v>79.845232684261546</v>
      </c>
    </row>
    <row r="100" spans="1:5" x14ac:dyDescent="0.3">
      <c r="A100" s="5" t="s">
        <v>98</v>
      </c>
      <c r="B100" s="6">
        <v>21.377440766394098</v>
      </c>
      <c r="C100" s="7">
        <v>75</v>
      </c>
      <c r="D100" s="8">
        <v>0.6707874121975308</v>
      </c>
      <c r="E100" s="7">
        <f t="shared" si="1"/>
        <v>43.839950537953726</v>
      </c>
    </row>
    <row r="101" spans="1:5" x14ac:dyDescent="0.3">
      <c r="A101" s="5" t="s">
        <v>99</v>
      </c>
      <c r="B101" s="6">
        <v>15.877737094757098</v>
      </c>
      <c r="C101" s="7">
        <v>75</v>
      </c>
      <c r="D101" s="8">
        <v>0.75548284874074068</v>
      </c>
      <c r="E101" s="7">
        <f t="shared" si="1"/>
        <v>49.339654209590734</v>
      </c>
    </row>
    <row r="102" spans="1:5" x14ac:dyDescent="0.3">
      <c r="A102" s="5" t="s">
        <v>100</v>
      </c>
      <c r="B102" s="6">
        <v>30.11128440275774</v>
      </c>
      <c r="C102" s="7">
        <v>140</v>
      </c>
      <c r="D102" s="8">
        <v>0.75158190367724864</v>
      </c>
      <c r="E102" s="7">
        <f t="shared" si="1"/>
        <v>91.627846032024877</v>
      </c>
    </row>
    <row r="103" spans="1:5" x14ac:dyDescent="0.3">
      <c r="A103" s="5" t="s">
        <v>101</v>
      </c>
      <c r="B103" s="6">
        <v>34.519383979477311</v>
      </c>
      <c r="C103" s="7">
        <v>170</v>
      </c>
      <c r="D103" s="8">
        <v>0.76547124413943357</v>
      </c>
      <c r="E103" s="7">
        <f t="shared" si="1"/>
        <v>113.30670297704444</v>
      </c>
    </row>
    <row r="104" spans="1:5" x14ac:dyDescent="0.3">
      <c r="A104" s="5" t="s">
        <v>102</v>
      </c>
      <c r="B104" s="6">
        <v>69.038767958954622</v>
      </c>
      <c r="C104" s="7">
        <v>310</v>
      </c>
      <c r="D104" s="8">
        <v>0.74277491292712061</v>
      </c>
      <c r="E104" s="7">
        <f t="shared" si="1"/>
        <v>200.52644943234975</v>
      </c>
    </row>
    <row r="105" spans="1:5" x14ac:dyDescent="0.3">
      <c r="A105" s="5" t="s">
        <v>103</v>
      </c>
      <c r="B105" s="6">
        <v>66.929005006981328</v>
      </c>
      <c r="C105" s="7">
        <v>225</v>
      </c>
      <c r="D105" s="8">
        <v>0.65643110763082912</v>
      </c>
      <c r="E105" s="7">
        <f t="shared" si="1"/>
        <v>128.72316890606217</v>
      </c>
    </row>
    <row r="106" spans="1:5" x14ac:dyDescent="0.3">
      <c r="A106" s="5" t="s">
        <v>104</v>
      </c>
      <c r="B106" s="6">
        <v>74.936507065264166</v>
      </c>
      <c r="C106" s="7">
        <v>260</v>
      </c>
      <c r="D106" s="8">
        <v>0.66710897822930726</v>
      </c>
      <c r="E106" s="7">
        <f t="shared" si="1"/>
        <v>151.15044945647497</v>
      </c>
    </row>
    <row r="107" spans="1:5" x14ac:dyDescent="0.3">
      <c r="A107" s="5" t="s">
        <v>105</v>
      </c>
      <c r="B107" s="6">
        <v>51.231013177459374</v>
      </c>
      <c r="C107" s="7">
        <v>210</v>
      </c>
      <c r="D107" s="8">
        <v>0.71822942752397345</v>
      </c>
      <c r="E107" s="7">
        <f t="shared" si="1"/>
        <v>131.37768247471456</v>
      </c>
    </row>
    <row r="108" spans="1:5" x14ac:dyDescent="0.3">
      <c r="A108" s="5" t="s">
        <v>106</v>
      </c>
      <c r="B108" s="6">
        <v>98.625877321960104</v>
      </c>
      <c r="C108" s="7">
        <v>375</v>
      </c>
      <c r="D108" s="8">
        <v>0.69623229784836282</v>
      </c>
      <c r="E108" s="7">
        <f t="shared" si="1"/>
        <v>227.46107919977908</v>
      </c>
    </row>
    <row r="109" spans="1:5" x14ac:dyDescent="0.3">
      <c r="A109" s="5" t="s">
        <v>107</v>
      </c>
      <c r="B109" s="6">
        <v>18.819394935094198</v>
      </c>
      <c r="C109" s="7">
        <v>75</v>
      </c>
      <c r="D109" s="8">
        <v>0.71018131799954931</v>
      </c>
      <c r="E109" s="7">
        <f t="shared" si="1"/>
        <v>46.397996369253633</v>
      </c>
    </row>
    <row r="110" spans="1:5" x14ac:dyDescent="0.3">
      <c r="A110" s="5" t="s">
        <v>108</v>
      </c>
      <c r="B110" s="6">
        <v>21.800066666666666</v>
      </c>
      <c r="C110" s="7">
        <v>65</v>
      </c>
      <c r="D110" s="8">
        <v>0.61262958461538464</v>
      </c>
      <c r="E110" s="7">
        <f t="shared" si="1"/>
        <v>34.721672463768122</v>
      </c>
    </row>
    <row r="111" spans="1:5" x14ac:dyDescent="0.3">
      <c r="A111" s="5" t="s">
        <v>109</v>
      </c>
      <c r="B111" s="6">
        <v>22.767983333333337</v>
      </c>
      <c r="C111" s="7">
        <v>65</v>
      </c>
      <c r="D111" s="8">
        <v>0.59543044999999994</v>
      </c>
      <c r="E111" s="7">
        <f t="shared" si="1"/>
        <v>33.753755797101448</v>
      </c>
    </row>
    <row r="112" spans="1:5" x14ac:dyDescent="0.3">
      <c r="A112" s="5" t="s">
        <v>110</v>
      </c>
      <c r="B112" s="6">
        <v>12.7</v>
      </c>
      <c r="C112" s="7">
        <v>35</v>
      </c>
      <c r="D112" s="8">
        <v>0.58089999999999997</v>
      </c>
      <c r="E112" s="7">
        <f t="shared" si="1"/>
        <v>17.734782608695657</v>
      </c>
    </row>
    <row r="113" spans="1:5" x14ac:dyDescent="0.3">
      <c r="A113" s="5" t="s">
        <v>111</v>
      </c>
      <c r="B113" s="6">
        <v>10.571806060606061</v>
      </c>
      <c r="C113" s="7">
        <v>40</v>
      </c>
      <c r="D113" s="8">
        <v>0.69473910000000005</v>
      </c>
      <c r="E113" s="7">
        <f t="shared" si="1"/>
        <v>24.210802635046118</v>
      </c>
    </row>
    <row r="114" spans="1:5" x14ac:dyDescent="0.3">
      <c r="A114" s="5" t="s">
        <v>112</v>
      </c>
      <c r="B114" s="6">
        <v>5.8748363636363639</v>
      </c>
      <c r="C114" s="7">
        <v>25</v>
      </c>
      <c r="D114" s="8">
        <v>0.72858255999999999</v>
      </c>
      <c r="E114" s="7">
        <f t="shared" si="1"/>
        <v>15.864294071146245</v>
      </c>
    </row>
    <row r="115" spans="1:5" x14ac:dyDescent="0.3">
      <c r="A115" s="5" t="s">
        <v>113</v>
      </c>
      <c r="B115" s="6">
        <v>5.53</v>
      </c>
      <c r="C115" s="7">
        <v>30</v>
      </c>
      <c r="D115" s="8">
        <v>0.78709499999999999</v>
      </c>
      <c r="E115" s="7">
        <f t="shared" si="1"/>
        <v>20.556956521739131</v>
      </c>
    </row>
    <row r="116" spans="1:5" x14ac:dyDescent="0.3">
      <c r="A116" s="5" t="s">
        <v>114</v>
      </c>
      <c r="B116" s="6">
        <v>71.69</v>
      </c>
      <c r="C116" s="7">
        <v>210</v>
      </c>
      <c r="D116" s="8">
        <v>0.60570499999999994</v>
      </c>
      <c r="E116" s="7">
        <f t="shared" si="1"/>
        <v>110.91869565217394</v>
      </c>
    </row>
    <row r="117" spans="1:5" x14ac:dyDescent="0.3">
      <c r="A117" s="5" t="s">
        <v>115</v>
      </c>
      <c r="B117" s="6">
        <v>71.69</v>
      </c>
      <c r="C117" s="7">
        <v>210</v>
      </c>
      <c r="D117" s="8">
        <v>0.60570499999999994</v>
      </c>
      <c r="E117" s="7">
        <f t="shared" si="1"/>
        <v>110.91869565217394</v>
      </c>
    </row>
    <row r="118" spans="1:5" x14ac:dyDescent="0.3">
      <c r="A118" s="5" t="s">
        <v>116</v>
      </c>
      <c r="B118" s="6">
        <v>87.65</v>
      </c>
      <c r="C118" s="7">
        <v>255</v>
      </c>
      <c r="D118" s="8">
        <v>0.60299705882352939</v>
      </c>
      <c r="E118" s="7">
        <f t="shared" si="1"/>
        <v>134.08913043478262</v>
      </c>
    </row>
    <row r="119" spans="1:5" x14ac:dyDescent="0.3">
      <c r="A119" s="5" t="s">
        <v>117</v>
      </c>
      <c r="B119" s="6">
        <v>30</v>
      </c>
      <c r="C119" s="7">
        <v>105</v>
      </c>
      <c r="D119" s="8">
        <v>0.66999999999999993</v>
      </c>
      <c r="E119" s="7">
        <f t="shared" si="1"/>
        <v>61.304347826086968</v>
      </c>
    </row>
    <row r="120" spans="1:5" x14ac:dyDescent="0.3">
      <c r="A120" s="5" t="s">
        <v>118</v>
      </c>
      <c r="B120" s="6">
        <v>10</v>
      </c>
      <c r="C120" s="7">
        <v>55</v>
      </c>
      <c r="D120" s="8">
        <v>0.79</v>
      </c>
      <c r="E120" s="7">
        <f t="shared" si="1"/>
        <v>37.826086956521742</v>
      </c>
    </row>
    <row r="121" spans="1:5" x14ac:dyDescent="0.3">
      <c r="A121" s="5" t="s">
        <v>119</v>
      </c>
      <c r="B121" s="6">
        <v>7</v>
      </c>
      <c r="C121" s="7">
        <v>35</v>
      </c>
      <c r="D121" s="8">
        <v>0.76900000000000002</v>
      </c>
      <c r="E121" s="7">
        <f t="shared" si="1"/>
        <v>23.434782608695656</v>
      </c>
    </row>
    <row r="122" spans="1:5" x14ac:dyDescent="0.3">
      <c r="A122" s="5" t="s">
        <v>120</v>
      </c>
      <c r="B122" s="6">
        <v>61.94</v>
      </c>
      <c r="C122" s="7">
        <v>190</v>
      </c>
      <c r="D122" s="8">
        <v>0.62346999999999997</v>
      </c>
      <c r="E122" s="7">
        <f t="shared" si="1"/>
        <v>103.27739130434784</v>
      </c>
    </row>
    <row r="123" spans="1:5" x14ac:dyDescent="0.3">
      <c r="A123" s="5" t="s">
        <v>121</v>
      </c>
      <c r="B123" s="6">
        <v>20.646666666666665</v>
      </c>
      <c r="C123" s="7">
        <v>65</v>
      </c>
      <c r="D123" s="8">
        <v>0.6331246153846154</v>
      </c>
      <c r="E123" s="7">
        <f t="shared" si="1"/>
        <v>35.87507246376812</v>
      </c>
    </row>
    <row r="124" spans="1:5" x14ac:dyDescent="0.3">
      <c r="A124" s="5" t="s">
        <v>122</v>
      </c>
      <c r="B124" s="6">
        <v>14.452666666666666</v>
      </c>
      <c r="C124" s="7">
        <v>50</v>
      </c>
      <c r="D124" s="8">
        <v>0.66614339999999994</v>
      </c>
      <c r="E124" s="7">
        <f t="shared" si="1"/>
        <v>29.025594202898553</v>
      </c>
    </row>
    <row r="125" spans="1:5" x14ac:dyDescent="0.3">
      <c r="A125" s="5" t="s">
        <v>123</v>
      </c>
      <c r="B125" s="6">
        <v>47.49</v>
      </c>
      <c r="C125" s="7">
        <v>155</v>
      </c>
      <c r="D125" s="8">
        <v>0.64612290322580646</v>
      </c>
      <c r="E125" s="7">
        <f t="shared" si="1"/>
        <v>87.292608695652177</v>
      </c>
    </row>
    <row r="126" spans="1:5" x14ac:dyDescent="0.3">
      <c r="A126" s="5" t="s">
        <v>124</v>
      </c>
      <c r="B126" s="6">
        <v>15.83</v>
      </c>
      <c r="C126" s="7">
        <v>55</v>
      </c>
      <c r="D126" s="8">
        <v>0.66757</v>
      </c>
      <c r="E126" s="7">
        <f t="shared" si="1"/>
        <v>31.996086956521744</v>
      </c>
    </row>
    <row r="127" spans="1:5" x14ac:dyDescent="0.3">
      <c r="A127" s="5" t="s">
        <v>125</v>
      </c>
      <c r="B127" s="6">
        <v>11.081000000000001</v>
      </c>
      <c r="C127" s="7">
        <v>45</v>
      </c>
      <c r="D127" s="8">
        <v>0.71558766666666662</v>
      </c>
      <c r="E127" s="7">
        <f t="shared" si="1"/>
        <v>28.049434782608692</v>
      </c>
    </row>
    <row r="128" spans="1:5" x14ac:dyDescent="0.3">
      <c r="A128" s="5" t="s">
        <v>126</v>
      </c>
      <c r="B128" s="6">
        <v>48.32</v>
      </c>
      <c r="C128" s="7">
        <v>155</v>
      </c>
      <c r="D128" s="8">
        <v>0.639938064516129</v>
      </c>
      <c r="E128" s="7">
        <f t="shared" si="1"/>
        <v>86.462608695652193</v>
      </c>
    </row>
    <row r="129" spans="1:5" x14ac:dyDescent="0.3">
      <c r="A129" s="5" t="s">
        <v>127</v>
      </c>
      <c r="B129" s="6">
        <v>16.106666666666666</v>
      </c>
      <c r="C129" s="7">
        <v>55</v>
      </c>
      <c r="D129" s="8">
        <v>0.66176000000000001</v>
      </c>
      <c r="E129" s="7">
        <f t="shared" si="1"/>
        <v>31.719420289855076</v>
      </c>
    </row>
    <row r="130" spans="1:5" x14ac:dyDescent="0.3">
      <c r="A130" s="5" t="s">
        <v>128</v>
      </c>
      <c r="B130" s="6">
        <v>11.274666666666667</v>
      </c>
      <c r="C130" s="7">
        <v>45</v>
      </c>
      <c r="D130" s="8">
        <v>0.71061688888888885</v>
      </c>
      <c r="E130" s="7">
        <f t="shared" si="1"/>
        <v>27.855768115942027</v>
      </c>
    </row>
    <row r="131" spans="1:5" x14ac:dyDescent="0.3">
      <c r="A131" s="5" t="s">
        <v>129</v>
      </c>
      <c r="B131" s="6">
        <v>15.133350000000002</v>
      </c>
      <c r="C131" s="7">
        <v>50</v>
      </c>
      <c r="D131" s="8">
        <v>0.6504196149999999</v>
      </c>
      <c r="E131" s="7">
        <f t="shared" si="1"/>
        <v>28.344910869565219</v>
      </c>
    </row>
    <row r="132" spans="1:5" x14ac:dyDescent="0.3">
      <c r="A132" s="5" t="s">
        <v>130</v>
      </c>
      <c r="B132" s="6">
        <v>21.433500000000002</v>
      </c>
      <c r="C132" s="7">
        <v>65</v>
      </c>
      <c r="D132" s="8">
        <v>0.61914319230769221</v>
      </c>
      <c r="E132" s="7">
        <f t="shared" si="1"/>
        <v>35.088239130434786</v>
      </c>
    </row>
    <row r="133" spans="1:5" x14ac:dyDescent="0.3">
      <c r="A133" s="5" t="s">
        <v>131</v>
      </c>
      <c r="B133" s="6">
        <v>64.95</v>
      </c>
      <c r="C133" s="7">
        <v>190</v>
      </c>
      <c r="D133" s="8">
        <v>0.6051723684210526</v>
      </c>
      <c r="E133" s="7">
        <f t="shared" si="1"/>
        <v>100.26739130434784</v>
      </c>
    </row>
    <row r="134" spans="1:5" x14ac:dyDescent="0.3">
      <c r="A134" s="5" t="s">
        <v>132</v>
      </c>
      <c r="B134" s="6">
        <v>57.2</v>
      </c>
      <c r="C134" s="7">
        <v>190</v>
      </c>
      <c r="D134" s="8">
        <v>0.6522842105263158</v>
      </c>
      <c r="E134" s="7">
        <f t="shared" ref="E134:E197" si="2">(C134/1.15)-B134</f>
        <v>108.01739130434784</v>
      </c>
    </row>
    <row r="135" spans="1:5" x14ac:dyDescent="0.3">
      <c r="A135" s="5" t="s">
        <v>133</v>
      </c>
      <c r="B135" s="6">
        <v>19.066666666666666</v>
      </c>
      <c r="C135" s="7">
        <v>65</v>
      </c>
      <c r="D135" s="8">
        <v>0.66120000000000001</v>
      </c>
      <c r="E135" s="7">
        <f t="shared" si="2"/>
        <v>37.455072463768118</v>
      </c>
    </row>
    <row r="136" spans="1:5" x14ac:dyDescent="0.3">
      <c r="A136" s="5" t="s">
        <v>134</v>
      </c>
      <c r="B136" s="6">
        <v>13.346666666666668</v>
      </c>
      <c r="C136" s="7">
        <v>50</v>
      </c>
      <c r="D136" s="8">
        <v>0.69169199999999997</v>
      </c>
      <c r="E136" s="7">
        <f t="shared" si="2"/>
        <v>30.131594202898551</v>
      </c>
    </row>
    <row r="137" spans="1:5" x14ac:dyDescent="0.3">
      <c r="A137" s="5" t="s">
        <v>135</v>
      </c>
      <c r="B137" s="6">
        <v>64.510000000000005</v>
      </c>
      <c r="C137" s="7">
        <v>225</v>
      </c>
      <c r="D137" s="8">
        <v>0.66884866666666665</v>
      </c>
      <c r="E137" s="7">
        <f t="shared" si="2"/>
        <v>131.14217391304351</v>
      </c>
    </row>
    <row r="138" spans="1:5" x14ac:dyDescent="0.3">
      <c r="A138" s="5" t="s">
        <v>136</v>
      </c>
      <c r="B138" s="6">
        <v>21.503333333333334</v>
      </c>
      <c r="C138" s="7">
        <v>80</v>
      </c>
      <c r="D138" s="8">
        <v>0.68954562500000005</v>
      </c>
      <c r="E138" s="7">
        <f t="shared" si="2"/>
        <v>48.061884057971028</v>
      </c>
    </row>
    <row r="139" spans="1:5" x14ac:dyDescent="0.3">
      <c r="A139" s="5" t="s">
        <v>137</v>
      </c>
      <c r="B139" s="6">
        <v>15.052333333333335</v>
      </c>
      <c r="C139" s="7">
        <v>60</v>
      </c>
      <c r="D139" s="8">
        <v>0.71024258333333323</v>
      </c>
      <c r="E139" s="7">
        <f t="shared" si="2"/>
        <v>37.121579710144928</v>
      </c>
    </row>
    <row r="140" spans="1:5" x14ac:dyDescent="0.3">
      <c r="A140" s="5" t="s">
        <v>138</v>
      </c>
      <c r="B140" s="6">
        <v>13.693410000000002</v>
      </c>
      <c r="C140" s="7">
        <v>45</v>
      </c>
      <c r="D140" s="8">
        <v>0.64853580999999993</v>
      </c>
      <c r="E140" s="7">
        <f t="shared" si="2"/>
        <v>25.437024782608695</v>
      </c>
    </row>
    <row r="141" spans="1:5" x14ac:dyDescent="0.3">
      <c r="A141" s="5" t="s">
        <v>139</v>
      </c>
      <c r="B141" s="6">
        <v>19.394100000000002</v>
      </c>
      <c r="C141" s="7">
        <v>60</v>
      </c>
      <c r="D141" s="8">
        <v>0.62666357500000003</v>
      </c>
      <c r="E141" s="7">
        <f t="shared" si="2"/>
        <v>32.779813043478264</v>
      </c>
    </row>
    <row r="142" spans="1:5" x14ac:dyDescent="0.3">
      <c r="A142" s="5" t="s">
        <v>140</v>
      </c>
      <c r="B142" s="6">
        <v>58.77</v>
      </c>
      <c r="C142" s="7">
        <v>170</v>
      </c>
      <c r="D142" s="8">
        <v>0.60070970588235295</v>
      </c>
      <c r="E142" s="7">
        <f t="shared" si="2"/>
        <v>89.056086956521739</v>
      </c>
    </row>
    <row r="143" spans="1:5" x14ac:dyDescent="0.3">
      <c r="A143" s="5" t="s">
        <v>141</v>
      </c>
      <c r="B143" s="6">
        <v>64.510000000000005</v>
      </c>
      <c r="C143" s="7">
        <v>230</v>
      </c>
      <c r="D143" s="8">
        <v>0.67604760869565217</v>
      </c>
      <c r="E143" s="7">
        <f t="shared" si="2"/>
        <v>135.49</v>
      </c>
    </row>
    <row r="144" spans="1:5" x14ac:dyDescent="0.3">
      <c r="A144" s="5" t="s">
        <v>142</v>
      </c>
      <c r="B144" s="6">
        <v>72.27</v>
      </c>
      <c r="C144" s="7">
        <v>230</v>
      </c>
      <c r="D144" s="8">
        <v>0.63707891304347819</v>
      </c>
      <c r="E144" s="7">
        <f t="shared" si="2"/>
        <v>127.73000000000003</v>
      </c>
    </row>
    <row r="145" spans="1:5" x14ac:dyDescent="0.3">
      <c r="A145" s="5" t="s">
        <v>143</v>
      </c>
      <c r="B145" s="6">
        <v>63.02</v>
      </c>
      <c r="C145" s="7">
        <v>225</v>
      </c>
      <c r="D145" s="8">
        <v>0.67649733333333328</v>
      </c>
      <c r="E145" s="7">
        <f t="shared" si="2"/>
        <v>132.63217391304349</v>
      </c>
    </row>
    <row r="146" spans="1:5" x14ac:dyDescent="0.3">
      <c r="A146" s="5" t="s">
        <v>144</v>
      </c>
      <c r="B146" s="6">
        <v>72.650000000000006</v>
      </c>
      <c r="C146" s="7">
        <v>225</v>
      </c>
      <c r="D146" s="8">
        <v>0.62706333333333331</v>
      </c>
      <c r="E146" s="7">
        <f t="shared" si="2"/>
        <v>123.00217391304349</v>
      </c>
    </row>
    <row r="147" spans="1:5" x14ac:dyDescent="0.3">
      <c r="A147" s="5" t="s">
        <v>145</v>
      </c>
      <c r="B147" s="6">
        <v>62.78</v>
      </c>
      <c r="C147" s="7">
        <v>170</v>
      </c>
      <c r="D147" s="8">
        <v>0.57346529411764702</v>
      </c>
      <c r="E147" s="7">
        <f t="shared" si="2"/>
        <v>85.046086956521748</v>
      </c>
    </row>
    <row r="148" spans="1:5" x14ac:dyDescent="0.3">
      <c r="A148" s="5" t="s">
        <v>146</v>
      </c>
      <c r="B148" s="6">
        <v>20.926666666666666</v>
      </c>
      <c r="C148" s="7">
        <v>60</v>
      </c>
      <c r="D148" s="8">
        <v>0.5971616666666667</v>
      </c>
      <c r="E148" s="7">
        <f t="shared" si="2"/>
        <v>31.247246376811599</v>
      </c>
    </row>
    <row r="149" spans="1:5" x14ac:dyDescent="0.3">
      <c r="A149" s="5" t="s">
        <v>147</v>
      </c>
      <c r="B149" s="6">
        <v>14.648666666666667</v>
      </c>
      <c r="C149" s="7">
        <v>45</v>
      </c>
      <c r="D149" s="8">
        <v>0.6240175555555556</v>
      </c>
      <c r="E149" s="7">
        <f t="shared" si="2"/>
        <v>24.481768115942028</v>
      </c>
    </row>
    <row r="150" spans="1:5" x14ac:dyDescent="0.3">
      <c r="A150" s="5" t="s">
        <v>148</v>
      </c>
      <c r="B150" s="6">
        <v>14.83278</v>
      </c>
      <c r="C150" s="7">
        <v>50</v>
      </c>
      <c r="D150" s="8">
        <v>0.65736278199999998</v>
      </c>
      <c r="E150" s="7">
        <f t="shared" si="2"/>
        <v>28.645480869565219</v>
      </c>
    </row>
    <row r="151" spans="1:5" x14ac:dyDescent="0.3">
      <c r="A151" s="5" t="s">
        <v>149</v>
      </c>
      <c r="B151" s="6">
        <v>21.0078</v>
      </c>
      <c r="C151" s="7">
        <v>65</v>
      </c>
      <c r="D151" s="8">
        <v>0.62670755384615384</v>
      </c>
      <c r="E151" s="7">
        <f t="shared" si="2"/>
        <v>35.513939130434792</v>
      </c>
    </row>
    <row r="152" spans="1:5" x14ac:dyDescent="0.3">
      <c r="A152" s="5" t="s">
        <v>150</v>
      </c>
      <c r="B152" s="6">
        <v>63.66</v>
      </c>
      <c r="C152" s="7">
        <v>190</v>
      </c>
      <c r="D152" s="8">
        <v>0.61301421052631588</v>
      </c>
      <c r="E152" s="7">
        <f t="shared" si="2"/>
        <v>101.55739130434785</v>
      </c>
    </row>
    <row r="153" spans="1:5" x14ac:dyDescent="0.3">
      <c r="A153" s="5" t="s">
        <v>151</v>
      </c>
      <c r="B153" s="6">
        <v>30</v>
      </c>
      <c r="C153" s="7">
        <v>105</v>
      </c>
      <c r="D153" s="8">
        <v>0.66999999999999993</v>
      </c>
      <c r="E153" s="7">
        <f t="shared" si="2"/>
        <v>61.304347826086968</v>
      </c>
    </row>
    <row r="154" spans="1:5" x14ac:dyDescent="0.3">
      <c r="A154" s="5" t="s">
        <v>152</v>
      </c>
      <c r="B154" s="6">
        <v>10</v>
      </c>
      <c r="C154" s="7">
        <v>55</v>
      </c>
      <c r="D154" s="8">
        <v>0.79</v>
      </c>
      <c r="E154" s="7">
        <f t="shared" si="2"/>
        <v>37.826086956521742</v>
      </c>
    </row>
    <row r="155" spans="1:5" x14ac:dyDescent="0.3">
      <c r="A155" s="5" t="s">
        <v>153</v>
      </c>
      <c r="B155" s="6">
        <v>7</v>
      </c>
      <c r="C155" s="7">
        <v>35</v>
      </c>
      <c r="D155" s="8">
        <v>0.76900000000000002</v>
      </c>
      <c r="E155" s="7">
        <f t="shared" si="2"/>
        <v>23.434782608695656</v>
      </c>
    </row>
    <row r="156" spans="1:5" x14ac:dyDescent="0.3">
      <c r="A156" s="5" t="s">
        <v>154</v>
      </c>
      <c r="B156" s="6">
        <v>8.3507200000000008</v>
      </c>
      <c r="C156" s="7">
        <v>40</v>
      </c>
      <c r="D156" s="8">
        <v>0.75887295999999993</v>
      </c>
      <c r="E156" s="7">
        <f t="shared" si="2"/>
        <v>26.431888695652177</v>
      </c>
    </row>
    <row r="157" spans="1:5" x14ac:dyDescent="0.3">
      <c r="A157" s="5" t="s">
        <v>155</v>
      </c>
      <c r="B157" s="6">
        <v>11.934720000000002</v>
      </c>
      <c r="C157" s="7">
        <v>50</v>
      </c>
      <c r="D157" s="8">
        <v>0.72430796799999997</v>
      </c>
      <c r="E157" s="7">
        <f t="shared" si="2"/>
        <v>31.543540869565216</v>
      </c>
    </row>
    <row r="158" spans="1:5" x14ac:dyDescent="0.3">
      <c r="A158" s="5" t="s">
        <v>156</v>
      </c>
      <c r="B158" s="6">
        <v>35.840000000000003</v>
      </c>
      <c r="C158" s="7">
        <v>145</v>
      </c>
      <c r="D158" s="8">
        <v>0.71451586206896556</v>
      </c>
      <c r="E158" s="7">
        <f t="shared" si="2"/>
        <v>90.246956521739136</v>
      </c>
    </row>
    <row r="159" spans="1:5" x14ac:dyDescent="0.3">
      <c r="A159" s="5" t="s">
        <v>157</v>
      </c>
      <c r="B159" s="6">
        <v>13.0014</v>
      </c>
      <c r="C159" s="7">
        <v>50</v>
      </c>
      <c r="D159" s="8">
        <v>0.69966766000000002</v>
      </c>
      <c r="E159" s="7">
        <f t="shared" si="2"/>
        <v>30.476860869565218</v>
      </c>
    </row>
    <row r="160" spans="1:5" x14ac:dyDescent="0.3">
      <c r="A160" s="5" t="s">
        <v>158</v>
      </c>
      <c r="B160" s="6">
        <v>18.581399999999999</v>
      </c>
      <c r="C160" s="7">
        <v>65</v>
      </c>
      <c r="D160" s="8">
        <v>0.66982281538461541</v>
      </c>
      <c r="E160" s="7">
        <f t="shared" si="2"/>
        <v>37.940339130434793</v>
      </c>
    </row>
    <row r="161" spans="1:5" x14ac:dyDescent="0.3">
      <c r="A161" s="5" t="s">
        <v>159</v>
      </c>
      <c r="B161" s="6">
        <v>55.8</v>
      </c>
      <c r="C161" s="7">
        <v>180</v>
      </c>
      <c r="D161" s="8">
        <v>0.64195000000000002</v>
      </c>
      <c r="E161" s="7">
        <f t="shared" si="2"/>
        <v>100.72173913043478</v>
      </c>
    </row>
    <row r="162" spans="1:5" x14ac:dyDescent="0.3">
      <c r="A162" s="5" t="s">
        <v>160</v>
      </c>
      <c r="B162" s="6">
        <v>64.09</v>
      </c>
      <c r="C162" s="7">
        <v>220</v>
      </c>
      <c r="D162" s="8">
        <v>0.66352750000000005</v>
      </c>
      <c r="E162" s="7">
        <f t="shared" si="2"/>
        <v>127.21434782608696</v>
      </c>
    </row>
    <row r="163" spans="1:5" x14ac:dyDescent="0.3">
      <c r="A163" s="5" t="s">
        <v>161</v>
      </c>
      <c r="B163" s="6">
        <v>21.363333333333333</v>
      </c>
      <c r="C163" s="7">
        <v>80</v>
      </c>
      <c r="D163" s="8">
        <v>0.69156687500000003</v>
      </c>
      <c r="E163" s="7">
        <f t="shared" si="2"/>
        <v>48.201884057971029</v>
      </c>
    </row>
    <row r="164" spans="1:5" x14ac:dyDescent="0.3">
      <c r="A164" s="5" t="s">
        <v>162</v>
      </c>
      <c r="B164" s="6">
        <v>14.954333333333334</v>
      </c>
      <c r="C164" s="7">
        <v>60</v>
      </c>
      <c r="D164" s="8">
        <v>0.71212908333333336</v>
      </c>
      <c r="E164" s="7">
        <f t="shared" si="2"/>
        <v>37.219579710144927</v>
      </c>
    </row>
    <row r="165" spans="1:5" x14ac:dyDescent="0.3">
      <c r="A165" s="5" t="s">
        <v>163</v>
      </c>
      <c r="B165" s="6">
        <v>75.16</v>
      </c>
      <c r="C165" s="7">
        <v>290</v>
      </c>
      <c r="D165" s="8">
        <v>0.70065586206896557</v>
      </c>
      <c r="E165" s="7">
        <f t="shared" si="2"/>
        <v>177.01391304347828</v>
      </c>
    </row>
    <row r="166" spans="1:5" x14ac:dyDescent="0.3">
      <c r="A166" s="5" t="s">
        <v>164</v>
      </c>
      <c r="B166" s="6">
        <v>53.94</v>
      </c>
      <c r="C166" s="7">
        <v>185</v>
      </c>
      <c r="D166" s="8">
        <v>0.6632394594594595</v>
      </c>
      <c r="E166" s="7">
        <f t="shared" si="2"/>
        <v>106.92956521739131</v>
      </c>
    </row>
    <row r="167" spans="1:5" x14ac:dyDescent="0.3">
      <c r="A167" s="5" t="s">
        <v>165</v>
      </c>
      <c r="B167" s="6">
        <v>17.979999999999997</v>
      </c>
      <c r="C167" s="7">
        <v>65</v>
      </c>
      <c r="D167" s="8">
        <v>0.68050923076923087</v>
      </c>
      <c r="E167" s="7">
        <f t="shared" si="2"/>
        <v>38.541739130434792</v>
      </c>
    </row>
    <row r="168" spans="1:5" x14ac:dyDescent="0.3">
      <c r="A168" s="5" t="s">
        <v>166</v>
      </c>
      <c r="B168" s="6">
        <v>12.586</v>
      </c>
      <c r="C168" s="7">
        <v>50</v>
      </c>
      <c r="D168" s="8">
        <v>0.70926339999999999</v>
      </c>
      <c r="E168" s="7">
        <f t="shared" si="2"/>
        <v>30.89226086956522</v>
      </c>
    </row>
    <row r="169" spans="1:5" x14ac:dyDescent="0.3">
      <c r="A169" s="5" t="s">
        <v>167</v>
      </c>
      <c r="B169" s="6">
        <v>68.83</v>
      </c>
      <c r="C169" s="7">
        <v>220</v>
      </c>
      <c r="D169" s="8">
        <v>0.6386425</v>
      </c>
      <c r="E169" s="7">
        <f t="shared" si="2"/>
        <v>122.47434782608697</v>
      </c>
    </row>
    <row r="170" spans="1:5" x14ac:dyDescent="0.3">
      <c r="A170" s="5" t="s">
        <v>168</v>
      </c>
      <c r="B170" s="6">
        <v>15.133350000000002</v>
      </c>
      <c r="C170" s="7">
        <v>50</v>
      </c>
      <c r="D170" s="8">
        <v>0.6504196149999999</v>
      </c>
      <c r="E170" s="7">
        <f t="shared" si="2"/>
        <v>28.344910869565219</v>
      </c>
    </row>
    <row r="171" spans="1:5" x14ac:dyDescent="0.3">
      <c r="A171" s="5" t="s">
        <v>169</v>
      </c>
      <c r="B171" s="6">
        <v>21.628350000000001</v>
      </c>
      <c r="C171" s="7">
        <v>70</v>
      </c>
      <c r="D171" s="8">
        <v>0.643132225</v>
      </c>
      <c r="E171" s="7">
        <f t="shared" si="2"/>
        <v>39.241215217391314</v>
      </c>
    </row>
    <row r="172" spans="1:5" x14ac:dyDescent="0.3">
      <c r="A172" s="5" t="s">
        <v>170</v>
      </c>
      <c r="B172" s="6">
        <v>64.95</v>
      </c>
      <c r="C172" s="7">
        <v>195</v>
      </c>
      <c r="D172" s="8">
        <v>0.61529615384615388</v>
      </c>
      <c r="E172" s="7">
        <f t="shared" si="2"/>
        <v>104.61521739130437</v>
      </c>
    </row>
    <row r="173" spans="1:5" x14ac:dyDescent="0.3">
      <c r="A173" s="5" t="s">
        <v>171</v>
      </c>
      <c r="B173" s="6">
        <v>70.739999999999995</v>
      </c>
      <c r="C173" s="7">
        <v>195</v>
      </c>
      <c r="D173" s="8">
        <v>0.58100153846153857</v>
      </c>
      <c r="E173" s="7">
        <f t="shared" si="2"/>
        <v>98.825217391304378</v>
      </c>
    </row>
    <row r="174" spans="1:5" x14ac:dyDescent="0.3">
      <c r="A174" s="5" t="s">
        <v>172</v>
      </c>
      <c r="B174" s="6">
        <v>7</v>
      </c>
      <c r="C174" s="7">
        <v>35</v>
      </c>
      <c r="D174" s="8">
        <v>0.76900000000000002</v>
      </c>
      <c r="E174" s="7">
        <f t="shared" si="2"/>
        <v>23.434782608695656</v>
      </c>
    </row>
    <row r="175" spans="1:5" x14ac:dyDescent="0.3">
      <c r="A175" s="5" t="s">
        <v>173</v>
      </c>
      <c r="B175" s="6">
        <v>10</v>
      </c>
      <c r="C175" s="7">
        <v>55</v>
      </c>
      <c r="D175" s="8">
        <v>0.79</v>
      </c>
      <c r="E175" s="7">
        <f t="shared" si="2"/>
        <v>37.826086956521742</v>
      </c>
    </row>
    <row r="176" spans="1:5" x14ac:dyDescent="0.3">
      <c r="A176" s="5" t="s">
        <v>174</v>
      </c>
      <c r="B176" s="6">
        <v>30</v>
      </c>
      <c r="C176" s="7">
        <v>105</v>
      </c>
      <c r="D176" s="8">
        <v>0.66999999999999993</v>
      </c>
      <c r="E176" s="7">
        <f t="shared" si="2"/>
        <v>61.304347826086968</v>
      </c>
    </row>
    <row r="177" spans="1:5" x14ac:dyDescent="0.3">
      <c r="A177" s="5" t="s">
        <v>175</v>
      </c>
      <c r="B177" s="6">
        <v>6.34</v>
      </c>
      <c r="C177" s="7">
        <v>25</v>
      </c>
      <c r="D177" s="8">
        <v>0.70709200000000005</v>
      </c>
      <c r="E177" s="7">
        <f t="shared" si="2"/>
        <v>15.399130434782609</v>
      </c>
    </row>
    <row r="178" spans="1:5" x14ac:dyDescent="0.3">
      <c r="A178" s="5" t="s">
        <v>176</v>
      </c>
      <c r="B178" s="6">
        <v>6.46</v>
      </c>
      <c r="C178" s="7">
        <v>25</v>
      </c>
      <c r="D178" s="8">
        <v>0.70154799999999995</v>
      </c>
      <c r="E178" s="7">
        <f t="shared" si="2"/>
        <v>15.279130434782608</v>
      </c>
    </row>
    <row r="179" spans="1:5" x14ac:dyDescent="0.3">
      <c r="A179" s="5" t="s">
        <v>177</v>
      </c>
      <c r="B179" s="6">
        <v>5.2526666666666673</v>
      </c>
      <c r="C179" s="7">
        <v>30</v>
      </c>
      <c r="D179" s="8">
        <v>0.79777233333333331</v>
      </c>
      <c r="E179" s="7">
        <f t="shared" si="2"/>
        <v>20.834289855072466</v>
      </c>
    </row>
    <row r="180" spans="1:5" x14ac:dyDescent="0.3">
      <c r="A180" s="5" t="s">
        <v>178</v>
      </c>
      <c r="B180" s="6">
        <v>10.505333333333335</v>
      </c>
      <c r="C180" s="7">
        <v>45</v>
      </c>
      <c r="D180" s="8">
        <v>0.73036311111111107</v>
      </c>
      <c r="E180" s="7">
        <f t="shared" si="2"/>
        <v>28.625101449275363</v>
      </c>
    </row>
    <row r="181" spans="1:5" x14ac:dyDescent="0.3">
      <c r="A181" s="5" t="s">
        <v>179</v>
      </c>
      <c r="B181" s="6">
        <v>5.556</v>
      </c>
      <c r="C181" s="7">
        <v>30</v>
      </c>
      <c r="D181" s="8">
        <v>0.78609399999999996</v>
      </c>
      <c r="E181" s="7">
        <f t="shared" si="2"/>
        <v>20.530956521739132</v>
      </c>
    </row>
    <row r="182" spans="1:5" x14ac:dyDescent="0.3">
      <c r="A182" s="5" t="s">
        <v>180</v>
      </c>
      <c r="B182" s="6">
        <v>11.112</v>
      </c>
      <c r="C182" s="7">
        <v>45</v>
      </c>
      <c r="D182" s="8">
        <v>0.71479199999999998</v>
      </c>
      <c r="E182" s="7">
        <f t="shared" si="2"/>
        <v>28.018434782608693</v>
      </c>
    </row>
    <row r="183" spans="1:5" x14ac:dyDescent="0.3">
      <c r="A183" s="5" t="s">
        <v>181</v>
      </c>
      <c r="B183" s="6">
        <v>6.6903333333333332</v>
      </c>
      <c r="C183" s="7">
        <v>30</v>
      </c>
      <c r="D183" s="8">
        <v>0.74242216666666661</v>
      </c>
      <c r="E183" s="7">
        <f t="shared" si="2"/>
        <v>19.396623188405798</v>
      </c>
    </row>
    <row r="184" spans="1:5" x14ac:dyDescent="0.3">
      <c r="A184" s="5" t="s">
        <v>182</v>
      </c>
      <c r="B184" s="6">
        <v>13.380666666666666</v>
      </c>
      <c r="C184" s="7">
        <v>45</v>
      </c>
      <c r="D184" s="8">
        <v>0.65656288888888881</v>
      </c>
      <c r="E184" s="7">
        <f t="shared" si="2"/>
        <v>25.749768115942029</v>
      </c>
    </row>
    <row r="185" spans="1:5" x14ac:dyDescent="0.3">
      <c r="A185" s="5" t="s">
        <v>183</v>
      </c>
      <c r="B185" s="6">
        <v>6.3863333333333339</v>
      </c>
      <c r="C185" s="7">
        <v>30</v>
      </c>
      <c r="D185" s="8">
        <v>0.75412616666666665</v>
      </c>
      <c r="E185" s="7">
        <f t="shared" si="2"/>
        <v>19.7006231884058</v>
      </c>
    </row>
    <row r="186" spans="1:5" x14ac:dyDescent="0.3">
      <c r="A186" s="5" t="s">
        <v>184</v>
      </c>
      <c r="B186" s="6">
        <v>12.772666666666668</v>
      </c>
      <c r="C186" s="7">
        <v>45</v>
      </c>
      <c r="D186" s="8">
        <v>0.67216822222222217</v>
      </c>
      <c r="E186" s="7">
        <f t="shared" si="2"/>
        <v>26.357768115942029</v>
      </c>
    </row>
    <row r="187" spans="1:5" x14ac:dyDescent="0.3">
      <c r="A187" s="5" t="s">
        <v>185</v>
      </c>
      <c r="B187" s="6">
        <v>10.325666666666667</v>
      </c>
      <c r="C187" s="7">
        <v>40</v>
      </c>
      <c r="D187" s="8">
        <v>0.70184637499999991</v>
      </c>
      <c r="E187" s="7">
        <f t="shared" si="2"/>
        <v>24.456942028985512</v>
      </c>
    </row>
    <row r="188" spans="1:5" x14ac:dyDescent="0.3">
      <c r="A188" s="5" t="s">
        <v>186</v>
      </c>
      <c r="B188" s="6">
        <v>20.651333333333334</v>
      </c>
      <c r="C188" s="7">
        <v>65</v>
      </c>
      <c r="D188" s="8">
        <v>0.63304169230769225</v>
      </c>
      <c r="E188" s="7">
        <f t="shared" si="2"/>
        <v>35.870405797101455</v>
      </c>
    </row>
    <row r="189" spans="1:5" x14ac:dyDescent="0.3">
      <c r="A189" s="5" t="s">
        <v>187</v>
      </c>
      <c r="B189" s="6">
        <v>12.407666666666668</v>
      </c>
      <c r="C189" s="7">
        <v>45</v>
      </c>
      <c r="D189" s="8">
        <v>0.68153655555555548</v>
      </c>
      <c r="E189" s="7">
        <f t="shared" si="2"/>
        <v>26.722768115942028</v>
      </c>
    </row>
    <row r="190" spans="1:5" x14ac:dyDescent="0.3">
      <c r="A190" s="5" t="s">
        <v>188</v>
      </c>
      <c r="B190" s="6">
        <v>24.815333333333335</v>
      </c>
      <c r="C190" s="7">
        <v>80</v>
      </c>
      <c r="D190" s="8">
        <v>0.64172862500000005</v>
      </c>
      <c r="E190" s="7">
        <f t="shared" si="2"/>
        <v>44.749884057971023</v>
      </c>
    </row>
    <row r="191" spans="1:5" x14ac:dyDescent="0.3">
      <c r="A191" s="5" t="s">
        <v>189</v>
      </c>
      <c r="B191" s="6">
        <v>5.7543333333333333</v>
      </c>
      <c r="C191" s="7">
        <v>30</v>
      </c>
      <c r="D191" s="8">
        <v>0.77845816666666667</v>
      </c>
      <c r="E191" s="7">
        <f t="shared" si="2"/>
        <v>20.332623188405798</v>
      </c>
    </row>
    <row r="192" spans="1:5" x14ac:dyDescent="0.3">
      <c r="A192" s="5" t="s">
        <v>190</v>
      </c>
      <c r="B192" s="6">
        <v>11.508666666666667</v>
      </c>
      <c r="C192" s="7">
        <v>45</v>
      </c>
      <c r="D192" s="8">
        <v>0.7046108888888889</v>
      </c>
      <c r="E192" s="7">
        <f t="shared" si="2"/>
        <v>27.621768115942029</v>
      </c>
    </row>
    <row r="193" spans="1:5" x14ac:dyDescent="0.3">
      <c r="A193" s="5" t="s">
        <v>191</v>
      </c>
      <c r="B193" s="6">
        <v>6.15</v>
      </c>
      <c r="C193" s="7">
        <v>30</v>
      </c>
      <c r="D193" s="8">
        <v>0.76322500000000004</v>
      </c>
      <c r="E193" s="7">
        <f t="shared" si="2"/>
        <v>19.936956521739134</v>
      </c>
    </row>
    <row r="194" spans="1:5" x14ac:dyDescent="0.3">
      <c r="A194" s="5" t="s">
        <v>192</v>
      </c>
      <c r="B194" s="6">
        <v>12.3</v>
      </c>
      <c r="C194" s="7">
        <v>45</v>
      </c>
      <c r="D194" s="8">
        <v>0.68429999999999991</v>
      </c>
      <c r="E194" s="7">
        <f t="shared" si="2"/>
        <v>26.830434782608695</v>
      </c>
    </row>
    <row r="195" spans="1:5" x14ac:dyDescent="0.3">
      <c r="A195" s="5" t="s">
        <v>193</v>
      </c>
      <c r="B195" s="6">
        <v>4.5739999999999998</v>
      </c>
      <c r="C195" s="7">
        <v>30</v>
      </c>
      <c r="D195" s="8">
        <v>0.82390099999999999</v>
      </c>
      <c r="E195" s="7">
        <f t="shared" si="2"/>
        <v>21.512956521739135</v>
      </c>
    </row>
    <row r="196" spans="1:5" x14ac:dyDescent="0.3">
      <c r="A196" s="5" t="s">
        <v>194</v>
      </c>
      <c r="B196" s="6">
        <v>9.1479999999999997</v>
      </c>
      <c r="C196" s="7">
        <v>45</v>
      </c>
      <c r="D196" s="8">
        <v>0.76520133333333329</v>
      </c>
      <c r="E196" s="7">
        <f t="shared" si="2"/>
        <v>29.982434782608696</v>
      </c>
    </row>
    <row r="197" spans="1:5" x14ac:dyDescent="0.3">
      <c r="A197" s="5" t="s">
        <v>195</v>
      </c>
      <c r="B197" s="6">
        <v>4.9180000000000001</v>
      </c>
      <c r="C197" s="7">
        <v>30</v>
      </c>
      <c r="D197" s="8">
        <v>0.81065699999999996</v>
      </c>
      <c r="E197" s="7">
        <f t="shared" si="2"/>
        <v>21.168956521739133</v>
      </c>
    </row>
    <row r="198" spans="1:5" x14ac:dyDescent="0.3">
      <c r="A198" s="5" t="s">
        <v>196</v>
      </c>
      <c r="B198" s="6">
        <v>9.8360000000000003</v>
      </c>
      <c r="C198" s="7">
        <v>45</v>
      </c>
      <c r="D198" s="8">
        <v>0.74754266666666669</v>
      </c>
      <c r="E198" s="7">
        <f t="shared" ref="E198:E261" si="3">(C198/1.15)-B198</f>
        <v>29.294434782608697</v>
      </c>
    </row>
    <row r="199" spans="1:5" x14ac:dyDescent="0.3">
      <c r="A199" s="5" t="s">
        <v>197</v>
      </c>
      <c r="B199" s="6">
        <v>4.5229999999999997</v>
      </c>
      <c r="C199" s="7">
        <v>30</v>
      </c>
      <c r="D199" s="8">
        <v>0.8258645</v>
      </c>
      <c r="E199" s="7">
        <f t="shared" si="3"/>
        <v>21.563956521739133</v>
      </c>
    </row>
    <row r="200" spans="1:5" x14ac:dyDescent="0.3">
      <c r="A200" s="5" t="s">
        <v>198</v>
      </c>
      <c r="B200" s="6">
        <v>9.0459999999999994</v>
      </c>
      <c r="C200" s="7">
        <v>45</v>
      </c>
      <c r="D200" s="8">
        <v>0.7678193333333333</v>
      </c>
      <c r="E200" s="7">
        <f t="shared" si="3"/>
        <v>30.084434782608696</v>
      </c>
    </row>
    <row r="201" spans="1:5" x14ac:dyDescent="0.3">
      <c r="A201" s="5" t="s">
        <v>199</v>
      </c>
      <c r="B201" s="6">
        <v>8.6083333333333325</v>
      </c>
      <c r="C201" s="7">
        <v>35</v>
      </c>
      <c r="D201" s="8">
        <v>0.71592500000000003</v>
      </c>
      <c r="E201" s="7">
        <f t="shared" si="3"/>
        <v>21.826449275362322</v>
      </c>
    </row>
    <row r="202" spans="1:5" x14ac:dyDescent="0.3">
      <c r="A202" s="5" t="s">
        <v>200</v>
      </c>
      <c r="B202" s="6">
        <v>17.216666666666665</v>
      </c>
      <c r="C202" s="7">
        <v>55</v>
      </c>
      <c r="D202" s="8">
        <v>0.63844999999999996</v>
      </c>
      <c r="E202" s="7">
        <f t="shared" si="3"/>
        <v>30.609420289855077</v>
      </c>
    </row>
    <row r="203" spans="1:5" x14ac:dyDescent="0.3">
      <c r="A203" s="5" t="s">
        <v>201</v>
      </c>
      <c r="B203" s="6">
        <v>7.1</v>
      </c>
      <c r="C203" s="7">
        <v>30</v>
      </c>
      <c r="D203" s="8">
        <v>0.72665000000000002</v>
      </c>
      <c r="E203" s="7">
        <f t="shared" si="3"/>
        <v>18.986956521739131</v>
      </c>
    </row>
    <row r="204" spans="1:5" x14ac:dyDescent="0.3">
      <c r="A204" s="5" t="s">
        <v>202</v>
      </c>
      <c r="B204" s="6">
        <v>14.2</v>
      </c>
      <c r="C204" s="7">
        <v>55</v>
      </c>
      <c r="D204" s="8">
        <v>0.70179999999999998</v>
      </c>
      <c r="E204" s="7">
        <f t="shared" si="3"/>
        <v>33.626086956521746</v>
      </c>
    </row>
    <row r="205" spans="1:5" x14ac:dyDescent="0.3">
      <c r="A205" s="5" t="s">
        <v>203</v>
      </c>
      <c r="B205" s="6">
        <v>9.8000000000000007</v>
      </c>
      <c r="C205" s="7">
        <v>40</v>
      </c>
      <c r="D205" s="8">
        <v>0.71702500000000002</v>
      </c>
      <c r="E205" s="7">
        <f t="shared" si="3"/>
        <v>24.982608695652178</v>
      </c>
    </row>
    <row r="206" spans="1:5" x14ac:dyDescent="0.3">
      <c r="A206" s="5" t="s">
        <v>204</v>
      </c>
      <c r="B206" s="6">
        <v>10.744999999999999</v>
      </c>
      <c r="C206" s="7">
        <v>40</v>
      </c>
      <c r="D206" s="8">
        <v>0.68973812500000009</v>
      </c>
      <c r="E206" s="7">
        <f t="shared" si="3"/>
        <v>24.037608695652182</v>
      </c>
    </row>
    <row r="207" spans="1:5" x14ac:dyDescent="0.3">
      <c r="A207" s="5" t="s">
        <v>205</v>
      </c>
      <c r="B207" s="6">
        <v>10.75</v>
      </c>
      <c r="C207" s="7">
        <v>40</v>
      </c>
      <c r="D207" s="8">
        <v>0.68959375000000001</v>
      </c>
      <c r="E207" s="7">
        <f t="shared" si="3"/>
        <v>24.032608695652179</v>
      </c>
    </row>
    <row r="208" spans="1:5" x14ac:dyDescent="0.3">
      <c r="A208" s="5" t="s">
        <v>206</v>
      </c>
      <c r="B208" s="6">
        <v>12.45</v>
      </c>
      <c r="C208" s="7">
        <v>45</v>
      </c>
      <c r="D208" s="8">
        <v>0.68045</v>
      </c>
      <c r="E208" s="7">
        <f t="shared" si="3"/>
        <v>26.680434782608696</v>
      </c>
    </row>
    <row r="209" spans="1:5" x14ac:dyDescent="0.3">
      <c r="A209" s="5" t="s">
        <v>207</v>
      </c>
      <c r="B209" s="6">
        <v>10.73</v>
      </c>
      <c r="C209" s="7">
        <v>45</v>
      </c>
      <c r="D209" s="8">
        <v>0.72459666666666667</v>
      </c>
      <c r="E209" s="7">
        <f t="shared" si="3"/>
        <v>28.400434782608695</v>
      </c>
    </row>
    <row r="210" spans="1:5" x14ac:dyDescent="0.3">
      <c r="A210" s="5" t="s">
        <v>208</v>
      </c>
      <c r="B210" s="6">
        <v>11.46</v>
      </c>
      <c r="C210" s="7">
        <v>45</v>
      </c>
      <c r="D210" s="8">
        <v>0.70585999999999993</v>
      </c>
      <c r="E210" s="7">
        <f t="shared" si="3"/>
        <v>27.670434782608694</v>
      </c>
    </row>
    <row r="211" spans="1:5" x14ac:dyDescent="0.3">
      <c r="A211" s="5" t="s">
        <v>209</v>
      </c>
      <c r="B211" s="6">
        <v>14.41</v>
      </c>
      <c r="C211" s="7">
        <v>45</v>
      </c>
      <c r="D211" s="8">
        <v>0.63014333333333328</v>
      </c>
      <c r="E211" s="7">
        <f t="shared" si="3"/>
        <v>24.720434782608695</v>
      </c>
    </row>
    <row r="212" spans="1:5" x14ac:dyDescent="0.3">
      <c r="A212" s="5" t="s">
        <v>210</v>
      </c>
      <c r="B212" s="6">
        <v>14.41</v>
      </c>
      <c r="C212" s="7">
        <v>45</v>
      </c>
      <c r="D212" s="8">
        <v>0.63014333333333328</v>
      </c>
      <c r="E212" s="7">
        <f t="shared" si="3"/>
        <v>24.720434782608695</v>
      </c>
    </row>
    <row r="213" spans="1:5" x14ac:dyDescent="0.3">
      <c r="A213" s="5" t="s">
        <v>211</v>
      </c>
      <c r="B213" s="6">
        <v>10.64</v>
      </c>
      <c r="C213" s="7">
        <v>45</v>
      </c>
      <c r="D213" s="8">
        <v>0.72690666666666659</v>
      </c>
      <c r="E213" s="7">
        <f t="shared" si="3"/>
        <v>28.490434782608695</v>
      </c>
    </row>
    <row r="214" spans="1:5" x14ac:dyDescent="0.3">
      <c r="A214" s="5" t="s">
        <v>212</v>
      </c>
      <c r="B214" s="6">
        <v>12.52</v>
      </c>
      <c r="C214" s="7">
        <v>45</v>
      </c>
      <c r="D214" s="8">
        <v>0.67865333333333333</v>
      </c>
      <c r="E214" s="7">
        <f t="shared" si="3"/>
        <v>26.610434782608696</v>
      </c>
    </row>
    <row r="215" spans="1:5" x14ac:dyDescent="0.3">
      <c r="A215" s="5" t="s">
        <v>213</v>
      </c>
      <c r="B215" s="6">
        <v>12.52</v>
      </c>
      <c r="C215" s="7">
        <v>45</v>
      </c>
      <c r="D215" s="8">
        <v>0.67865333333333333</v>
      </c>
      <c r="E215" s="7">
        <f t="shared" si="3"/>
        <v>26.610434782608696</v>
      </c>
    </row>
    <row r="216" spans="1:5" x14ac:dyDescent="0.3">
      <c r="A216" s="5" t="s">
        <v>214</v>
      </c>
      <c r="B216" s="6">
        <v>14.17</v>
      </c>
      <c r="C216" s="7">
        <v>45</v>
      </c>
      <c r="D216" s="8">
        <v>0.63630333333333333</v>
      </c>
      <c r="E216" s="7">
        <f t="shared" si="3"/>
        <v>24.960434782608694</v>
      </c>
    </row>
    <row r="217" spans="1:5" x14ac:dyDescent="0.3">
      <c r="A217" s="5" t="s">
        <v>215</v>
      </c>
      <c r="B217" s="6">
        <v>8.3999999999999986</v>
      </c>
      <c r="C217" s="7">
        <v>40</v>
      </c>
      <c r="D217" s="8">
        <v>0.75745000000000007</v>
      </c>
      <c r="E217" s="7">
        <f t="shared" si="3"/>
        <v>26.382608695652181</v>
      </c>
    </row>
    <row r="218" spans="1:5" x14ac:dyDescent="0.3">
      <c r="A218" s="5" t="s">
        <v>216</v>
      </c>
      <c r="B218" s="6">
        <v>12</v>
      </c>
      <c r="C218" s="7">
        <v>50</v>
      </c>
      <c r="D218" s="8">
        <v>0.7228</v>
      </c>
      <c r="E218" s="7">
        <f t="shared" si="3"/>
        <v>31.478260869565219</v>
      </c>
    </row>
    <row r="219" spans="1:5" x14ac:dyDescent="0.3">
      <c r="A219" s="5" t="s">
        <v>217</v>
      </c>
      <c r="B219" s="6">
        <v>13.82</v>
      </c>
      <c r="C219" s="7">
        <v>45</v>
      </c>
      <c r="D219" s="8">
        <v>0.64528666666666656</v>
      </c>
      <c r="E219" s="7">
        <f t="shared" si="3"/>
        <v>25.310434782608695</v>
      </c>
    </row>
    <row r="220" spans="1:5" x14ac:dyDescent="0.3">
      <c r="A220" s="5" t="s">
        <v>218</v>
      </c>
      <c r="B220" s="6">
        <v>10.576999999999998</v>
      </c>
      <c r="C220" s="7">
        <v>40</v>
      </c>
      <c r="D220" s="8">
        <v>0.69458912500000003</v>
      </c>
      <c r="E220" s="7">
        <f t="shared" si="3"/>
        <v>24.205608695652181</v>
      </c>
    </row>
    <row r="221" spans="1:5" x14ac:dyDescent="0.3">
      <c r="A221" s="5" t="s">
        <v>219</v>
      </c>
      <c r="B221" s="6">
        <v>15.11</v>
      </c>
      <c r="C221" s="7">
        <v>50</v>
      </c>
      <c r="D221" s="8">
        <v>0.65095899999999995</v>
      </c>
      <c r="E221" s="7">
        <f t="shared" si="3"/>
        <v>28.368260869565219</v>
      </c>
    </row>
    <row r="222" spans="1:5" x14ac:dyDescent="0.3">
      <c r="A222" s="5" t="s">
        <v>220</v>
      </c>
      <c r="B222" s="6">
        <v>40.793333333333329</v>
      </c>
      <c r="C222" s="7">
        <v>165</v>
      </c>
      <c r="D222" s="8">
        <v>0.71444666666666667</v>
      </c>
      <c r="E222" s="7">
        <f t="shared" si="3"/>
        <v>102.6849275362319</v>
      </c>
    </row>
    <row r="223" spans="1:5" x14ac:dyDescent="0.3">
      <c r="A223" s="5" t="s">
        <v>221</v>
      </c>
      <c r="B223" s="6">
        <v>10.198333333333332</v>
      </c>
      <c r="C223" s="7">
        <v>60</v>
      </c>
      <c r="D223" s="8">
        <v>0.80368208333333335</v>
      </c>
      <c r="E223" s="7">
        <f t="shared" si="3"/>
        <v>41.975579710144935</v>
      </c>
    </row>
    <row r="224" spans="1:5" x14ac:dyDescent="0.3">
      <c r="A224" s="5" t="s">
        <v>222</v>
      </c>
      <c r="B224" s="6">
        <v>69.680000000000007</v>
      </c>
      <c r="C224" s="7">
        <v>165</v>
      </c>
      <c r="D224" s="8">
        <v>0.51224000000000003</v>
      </c>
      <c r="E224" s="7">
        <f t="shared" si="3"/>
        <v>73.798260869565212</v>
      </c>
    </row>
    <row r="225" spans="1:5" x14ac:dyDescent="0.3">
      <c r="A225" s="5" t="s">
        <v>223</v>
      </c>
      <c r="B225" s="6">
        <v>17.420000000000002</v>
      </c>
      <c r="C225" s="7">
        <v>60</v>
      </c>
      <c r="D225" s="8">
        <v>0.66466499999999995</v>
      </c>
      <c r="E225" s="7">
        <f t="shared" si="3"/>
        <v>34.753913043478263</v>
      </c>
    </row>
    <row r="226" spans="1:5" x14ac:dyDescent="0.3">
      <c r="A226" s="5" t="s">
        <v>224</v>
      </c>
      <c r="B226" s="6">
        <v>44.911111111111111</v>
      </c>
      <c r="C226" s="7">
        <v>165</v>
      </c>
      <c r="D226" s="8">
        <v>0.68562222222222224</v>
      </c>
      <c r="E226" s="7">
        <f t="shared" si="3"/>
        <v>98.567149758454107</v>
      </c>
    </row>
    <row r="227" spans="1:5" x14ac:dyDescent="0.3">
      <c r="A227" s="5" t="s">
        <v>225</v>
      </c>
      <c r="B227" s="6">
        <v>11.227777777777778</v>
      </c>
      <c r="C227" s="7">
        <v>60</v>
      </c>
      <c r="D227" s="8">
        <v>0.78386527777777781</v>
      </c>
      <c r="E227" s="7">
        <f t="shared" si="3"/>
        <v>40.946135265700491</v>
      </c>
    </row>
    <row r="228" spans="1:5" x14ac:dyDescent="0.3">
      <c r="A228" s="5" t="s">
        <v>226</v>
      </c>
      <c r="B228" s="6">
        <v>32.87146666666667</v>
      </c>
      <c r="C228" s="7">
        <v>165</v>
      </c>
      <c r="D228" s="8">
        <v>0.76989973333333328</v>
      </c>
      <c r="E228" s="7">
        <f t="shared" si="3"/>
        <v>110.60679420289856</v>
      </c>
    </row>
    <row r="229" spans="1:5" x14ac:dyDescent="0.3">
      <c r="A229" s="5" t="s">
        <v>227</v>
      </c>
      <c r="B229" s="6">
        <v>8.2178666666666675</v>
      </c>
      <c r="C229" s="7">
        <v>60</v>
      </c>
      <c r="D229" s="8">
        <v>0.84180606666666669</v>
      </c>
      <c r="E229" s="7">
        <f t="shared" si="3"/>
        <v>43.956046376811599</v>
      </c>
    </row>
    <row r="230" spans="1:5" x14ac:dyDescent="0.3">
      <c r="A230" s="5" t="s">
        <v>228</v>
      </c>
      <c r="B230" s="6">
        <v>34.86622222222222</v>
      </c>
      <c r="C230" s="7">
        <v>165</v>
      </c>
      <c r="D230" s="8">
        <v>0.75593644444444452</v>
      </c>
      <c r="E230" s="7">
        <f t="shared" si="3"/>
        <v>108.612038647343</v>
      </c>
    </row>
    <row r="231" spans="1:5" x14ac:dyDescent="0.3">
      <c r="A231" s="5" t="s">
        <v>229</v>
      </c>
      <c r="B231" s="6">
        <v>8.7165555555555549</v>
      </c>
      <c r="C231" s="7">
        <v>60</v>
      </c>
      <c r="D231" s="8">
        <v>0.83220630555555553</v>
      </c>
      <c r="E231" s="7">
        <f t="shared" si="3"/>
        <v>43.457357487922707</v>
      </c>
    </row>
    <row r="232" spans="1:5" x14ac:dyDescent="0.3">
      <c r="A232" s="5" t="s">
        <v>230</v>
      </c>
      <c r="B232" s="6">
        <v>11.090333333333334</v>
      </c>
      <c r="C232" s="7">
        <v>50</v>
      </c>
      <c r="D232" s="8">
        <v>0.74381330000000001</v>
      </c>
      <c r="E232" s="7">
        <f t="shared" si="3"/>
        <v>32.387927536231885</v>
      </c>
    </row>
    <row r="233" spans="1:5" x14ac:dyDescent="0.3">
      <c r="A233" s="5" t="s">
        <v>231</v>
      </c>
      <c r="B233" s="6">
        <v>11.5</v>
      </c>
      <c r="C233" s="7">
        <v>50</v>
      </c>
      <c r="D233" s="8">
        <v>0.73435000000000006</v>
      </c>
      <c r="E233" s="7">
        <f t="shared" si="3"/>
        <v>31.978260869565219</v>
      </c>
    </row>
    <row r="234" spans="1:5" x14ac:dyDescent="0.3">
      <c r="A234" s="5" t="s">
        <v>232</v>
      </c>
      <c r="B234" s="6">
        <v>8.923</v>
      </c>
      <c r="C234" s="7">
        <v>50</v>
      </c>
      <c r="D234" s="8">
        <v>0.79387870000000005</v>
      </c>
      <c r="E234" s="7">
        <f t="shared" si="3"/>
        <v>34.555260869565217</v>
      </c>
    </row>
    <row r="235" spans="1:5" x14ac:dyDescent="0.3">
      <c r="A235" s="5" t="s">
        <v>233</v>
      </c>
      <c r="B235" s="6">
        <v>5.625</v>
      </c>
      <c r="C235" s="7">
        <v>30</v>
      </c>
      <c r="D235" s="8">
        <v>0.78343750000000001</v>
      </c>
      <c r="E235" s="7">
        <f t="shared" si="3"/>
        <v>20.461956521739133</v>
      </c>
    </row>
    <row r="236" spans="1:5" x14ac:dyDescent="0.3">
      <c r="A236" s="5" t="s">
        <v>234</v>
      </c>
      <c r="B236" s="6">
        <v>5.625</v>
      </c>
      <c r="C236" s="7">
        <v>30</v>
      </c>
      <c r="D236" s="8">
        <v>0.78343750000000001</v>
      </c>
      <c r="E236" s="7">
        <f t="shared" si="3"/>
        <v>20.461956521739133</v>
      </c>
    </row>
    <row r="237" spans="1:5" x14ac:dyDescent="0.3">
      <c r="A237" s="5" t="s">
        <v>235</v>
      </c>
      <c r="B237" s="6">
        <v>11.666666666666666</v>
      </c>
      <c r="C237" s="7">
        <v>45</v>
      </c>
      <c r="D237" s="8">
        <v>0.7005555555555556</v>
      </c>
      <c r="E237" s="7">
        <f t="shared" si="3"/>
        <v>27.463768115942031</v>
      </c>
    </row>
    <row r="238" spans="1:5" x14ac:dyDescent="0.3">
      <c r="A238" s="5" t="s">
        <v>236</v>
      </c>
      <c r="B238" s="6">
        <v>11.666666666666666</v>
      </c>
      <c r="C238" s="7">
        <v>45</v>
      </c>
      <c r="D238" s="8">
        <v>0.7005555555555556</v>
      </c>
      <c r="E238" s="7">
        <f t="shared" si="3"/>
        <v>27.463768115942031</v>
      </c>
    </row>
    <row r="239" spans="1:5" x14ac:dyDescent="0.3">
      <c r="A239" s="5" t="s">
        <v>237</v>
      </c>
      <c r="B239" s="6">
        <v>9.6329999999999991</v>
      </c>
      <c r="C239" s="7">
        <v>30</v>
      </c>
      <c r="D239" s="8">
        <v>0.62912950000000001</v>
      </c>
      <c r="E239" s="7">
        <f t="shared" si="3"/>
        <v>16.453956521739133</v>
      </c>
    </row>
    <row r="240" spans="1:5" x14ac:dyDescent="0.3">
      <c r="A240" s="5" t="s">
        <v>237</v>
      </c>
      <c r="B240" s="6">
        <v>9.6329999999999991</v>
      </c>
      <c r="C240" s="7">
        <v>30</v>
      </c>
      <c r="D240" s="8">
        <v>0.62912950000000001</v>
      </c>
      <c r="E240" s="7">
        <f t="shared" si="3"/>
        <v>16.453956521739133</v>
      </c>
    </row>
    <row r="241" spans="1:5" x14ac:dyDescent="0.3">
      <c r="A241" s="5" t="s">
        <v>237</v>
      </c>
      <c r="B241" s="6">
        <v>9.6329999999999991</v>
      </c>
      <c r="C241" s="7">
        <v>30</v>
      </c>
      <c r="D241" s="8">
        <v>0.62912950000000001</v>
      </c>
      <c r="E241" s="7">
        <f t="shared" si="3"/>
        <v>16.453956521739133</v>
      </c>
    </row>
    <row r="242" spans="1:5" x14ac:dyDescent="0.3">
      <c r="A242" s="5" t="s">
        <v>238</v>
      </c>
      <c r="B242" s="6">
        <v>9.3800000000000008</v>
      </c>
      <c r="C242" s="7">
        <v>30</v>
      </c>
      <c r="D242" s="8">
        <v>0.63887000000000005</v>
      </c>
      <c r="E242" s="7">
        <f t="shared" si="3"/>
        <v>16.70695652173913</v>
      </c>
    </row>
    <row r="243" spans="1:5" x14ac:dyDescent="0.3">
      <c r="A243" s="5" t="s">
        <v>239</v>
      </c>
      <c r="B243" s="6">
        <v>9.3800000000000008</v>
      </c>
      <c r="C243" s="7">
        <v>30</v>
      </c>
      <c r="D243" s="8">
        <v>0.63887000000000005</v>
      </c>
      <c r="E243" s="7">
        <f t="shared" si="3"/>
        <v>16.70695652173913</v>
      </c>
    </row>
    <row r="244" spans="1:5" x14ac:dyDescent="0.3">
      <c r="A244" s="5" t="s">
        <v>240</v>
      </c>
      <c r="B244" s="6">
        <v>9.3800000000000008</v>
      </c>
      <c r="C244" s="7">
        <v>30</v>
      </c>
      <c r="D244" s="8">
        <v>0.63887000000000005</v>
      </c>
      <c r="E244" s="7">
        <f t="shared" si="3"/>
        <v>16.70695652173913</v>
      </c>
    </row>
    <row r="245" spans="1:5" x14ac:dyDescent="0.3">
      <c r="A245" s="5" t="s">
        <v>241</v>
      </c>
      <c r="B245" s="6">
        <v>14.23</v>
      </c>
      <c r="C245" s="7">
        <v>40</v>
      </c>
      <c r="D245" s="8">
        <v>0.58910874999999996</v>
      </c>
      <c r="E245" s="7">
        <f t="shared" si="3"/>
        <v>20.552608695652179</v>
      </c>
    </row>
    <row r="246" spans="1:5" x14ac:dyDescent="0.3">
      <c r="A246" s="5" t="s">
        <v>242</v>
      </c>
      <c r="B246" s="6">
        <v>14.23</v>
      </c>
      <c r="C246" s="7">
        <v>40</v>
      </c>
      <c r="D246" s="8">
        <v>0.58910874999999996</v>
      </c>
      <c r="E246" s="7">
        <f t="shared" si="3"/>
        <v>20.552608695652179</v>
      </c>
    </row>
    <row r="247" spans="1:5" x14ac:dyDescent="0.3">
      <c r="A247" s="5" t="s">
        <v>243</v>
      </c>
      <c r="B247" s="6">
        <v>14.3</v>
      </c>
      <c r="C247" s="7">
        <v>45</v>
      </c>
      <c r="D247" s="8">
        <v>0.63296666666666668</v>
      </c>
      <c r="E247" s="7">
        <f t="shared" si="3"/>
        <v>24.830434782608695</v>
      </c>
    </row>
    <row r="248" spans="1:5" x14ac:dyDescent="0.3">
      <c r="A248" s="5" t="s">
        <v>244</v>
      </c>
      <c r="B248" s="6">
        <v>9.2733333333333334</v>
      </c>
      <c r="C248" s="7">
        <v>35</v>
      </c>
      <c r="D248" s="8">
        <v>0.69398000000000004</v>
      </c>
      <c r="E248" s="7">
        <f t="shared" si="3"/>
        <v>21.161449275362322</v>
      </c>
    </row>
    <row r="249" spans="1:5" x14ac:dyDescent="0.3">
      <c r="A249" s="5" t="s">
        <v>245</v>
      </c>
      <c r="B249" s="6">
        <v>9.2733333333333334</v>
      </c>
      <c r="C249" s="7">
        <v>35</v>
      </c>
      <c r="D249" s="8">
        <v>0.69398000000000004</v>
      </c>
      <c r="E249" s="7">
        <f t="shared" si="3"/>
        <v>21.161449275362322</v>
      </c>
    </row>
    <row r="250" spans="1:5" x14ac:dyDescent="0.3">
      <c r="A250" s="5" t="s">
        <v>246</v>
      </c>
      <c r="B250" s="6">
        <v>9.2733333333333334</v>
      </c>
      <c r="C250" s="7">
        <v>35</v>
      </c>
      <c r="D250" s="8">
        <v>0.69398000000000004</v>
      </c>
      <c r="E250" s="7">
        <f t="shared" si="3"/>
        <v>21.161449275362322</v>
      </c>
    </row>
    <row r="251" spans="1:5" x14ac:dyDescent="0.3">
      <c r="A251" s="5" t="s">
        <v>247</v>
      </c>
      <c r="B251" s="6">
        <v>12.22</v>
      </c>
      <c r="C251" s="7">
        <v>40</v>
      </c>
      <c r="D251" s="8">
        <v>0.64714749999999999</v>
      </c>
      <c r="E251" s="7">
        <f t="shared" si="3"/>
        <v>22.56260869565218</v>
      </c>
    </row>
    <row r="252" spans="1:5" x14ac:dyDescent="0.3">
      <c r="A252" s="5" t="s">
        <v>248</v>
      </c>
      <c r="B252" s="6">
        <v>12.45</v>
      </c>
      <c r="C252" s="7">
        <v>45</v>
      </c>
      <c r="D252" s="8">
        <v>0.68045</v>
      </c>
      <c r="E252" s="7">
        <f t="shared" si="3"/>
        <v>26.680434782608696</v>
      </c>
    </row>
    <row r="253" spans="1:5" x14ac:dyDescent="0.3">
      <c r="A253" s="5" t="s">
        <v>249</v>
      </c>
      <c r="B253" s="6">
        <v>20.391555555555552</v>
      </c>
      <c r="C253" s="7">
        <v>150</v>
      </c>
      <c r="D253" s="8">
        <v>0.84298502222222227</v>
      </c>
      <c r="E253" s="7">
        <f t="shared" si="3"/>
        <v>110.0432270531401</v>
      </c>
    </row>
    <row r="254" spans="1:5" x14ac:dyDescent="0.3">
      <c r="A254" s="5" t="s">
        <v>250</v>
      </c>
      <c r="B254" s="6">
        <v>7.2662222222222228</v>
      </c>
      <c r="C254" s="7">
        <v>50</v>
      </c>
      <c r="D254" s="8">
        <v>0.83215026666666669</v>
      </c>
      <c r="E254" s="7">
        <f t="shared" si="3"/>
        <v>36.212038647342993</v>
      </c>
    </row>
    <row r="255" spans="1:5" x14ac:dyDescent="0.3">
      <c r="A255" s="5" t="s">
        <v>251</v>
      </c>
      <c r="B255" s="6">
        <v>55.552</v>
      </c>
      <c r="C255" s="7">
        <v>150</v>
      </c>
      <c r="D255" s="8">
        <v>0.57224959999999991</v>
      </c>
      <c r="E255" s="7">
        <f t="shared" si="3"/>
        <v>74.882782608695663</v>
      </c>
    </row>
    <row r="256" spans="1:5" x14ac:dyDescent="0.3">
      <c r="A256" s="5" t="s">
        <v>252</v>
      </c>
      <c r="B256" s="6">
        <v>12.950000000000001</v>
      </c>
      <c r="C256" s="7">
        <v>50</v>
      </c>
      <c r="D256" s="8">
        <v>0.70085500000000001</v>
      </c>
      <c r="E256" s="7">
        <f t="shared" si="3"/>
        <v>30.528260869565216</v>
      </c>
    </row>
    <row r="257" spans="1:5" x14ac:dyDescent="0.3">
      <c r="A257" s="5" t="s">
        <v>253</v>
      </c>
      <c r="B257" s="6">
        <v>24.673333333333332</v>
      </c>
      <c r="C257" s="7">
        <v>150</v>
      </c>
      <c r="D257" s="8">
        <v>0.81001533333333331</v>
      </c>
      <c r="E257" s="7">
        <f t="shared" si="3"/>
        <v>105.76144927536232</v>
      </c>
    </row>
    <row r="258" spans="1:5" x14ac:dyDescent="0.3">
      <c r="A258" s="5" t="s">
        <v>254</v>
      </c>
      <c r="B258" s="6">
        <v>8.336666666666666</v>
      </c>
      <c r="C258" s="7">
        <v>50</v>
      </c>
      <c r="D258" s="8">
        <v>0.807423</v>
      </c>
      <c r="E258" s="7">
        <f t="shared" si="3"/>
        <v>35.141594202898553</v>
      </c>
    </row>
    <row r="259" spans="1:5" x14ac:dyDescent="0.3">
      <c r="A259" s="5" t="s">
        <v>255</v>
      </c>
      <c r="B259" s="6">
        <v>16.809662222222226</v>
      </c>
      <c r="C259" s="7">
        <v>150</v>
      </c>
      <c r="D259" s="8">
        <v>0.8705656008888889</v>
      </c>
      <c r="E259" s="7">
        <f t="shared" si="3"/>
        <v>113.62512038647343</v>
      </c>
    </row>
    <row r="260" spans="1:5" x14ac:dyDescent="0.3">
      <c r="A260" s="5" t="s">
        <v>256</v>
      </c>
      <c r="B260" s="6">
        <v>5.4625822222222222</v>
      </c>
      <c r="C260" s="7">
        <v>50</v>
      </c>
      <c r="D260" s="8">
        <v>0.87381435066666668</v>
      </c>
      <c r="E260" s="7">
        <f t="shared" si="3"/>
        <v>38.015678647342995</v>
      </c>
    </row>
    <row r="261" spans="1:5" x14ac:dyDescent="0.3">
      <c r="A261" s="5" t="s">
        <v>257</v>
      </c>
      <c r="B261" s="6">
        <v>20.931022222222222</v>
      </c>
      <c r="C261" s="7">
        <v>150</v>
      </c>
      <c r="D261" s="8">
        <v>0.83883112888888889</v>
      </c>
      <c r="E261" s="7">
        <f t="shared" si="3"/>
        <v>109.50376038647343</v>
      </c>
    </row>
    <row r="262" spans="1:5" x14ac:dyDescent="0.3">
      <c r="A262" s="5" t="s">
        <v>258</v>
      </c>
      <c r="B262" s="6">
        <v>7.3972000000000007</v>
      </c>
      <c r="C262" s="7">
        <v>50</v>
      </c>
      <c r="D262" s="8">
        <v>0.82912467999999995</v>
      </c>
      <c r="E262" s="7">
        <f t="shared" ref="E262:E295" si="4">(C262/1.15)-B262</f>
        <v>36.081060869565221</v>
      </c>
    </row>
    <row r="263" spans="1:5" x14ac:dyDescent="0.3">
      <c r="A263" s="5" t="s">
        <v>259</v>
      </c>
      <c r="B263" s="6">
        <v>9.0349999999999984</v>
      </c>
      <c r="C263" s="7">
        <v>40</v>
      </c>
      <c r="D263" s="8">
        <v>0.73911437499999999</v>
      </c>
      <c r="E263" s="7">
        <f t="shared" si="4"/>
        <v>25.747608695652183</v>
      </c>
    </row>
    <row r="264" spans="1:5" x14ac:dyDescent="0.3">
      <c r="A264" s="5" t="s">
        <v>260</v>
      </c>
      <c r="B264" s="6">
        <v>8.9379166666666663</v>
      </c>
      <c r="C264" s="7">
        <v>40</v>
      </c>
      <c r="D264" s="8">
        <v>0.74191765625000006</v>
      </c>
      <c r="E264" s="7">
        <f t="shared" si="4"/>
        <v>25.844692028985513</v>
      </c>
    </row>
    <row r="265" spans="1:5" x14ac:dyDescent="0.3">
      <c r="A265" s="5" t="s">
        <v>261</v>
      </c>
      <c r="B265" s="6">
        <v>1.1717391304347826</v>
      </c>
      <c r="C265" s="7">
        <v>25</v>
      </c>
      <c r="D265" s="8">
        <v>0.94586565217391305</v>
      </c>
      <c r="E265" s="7">
        <f t="shared" si="4"/>
        <v>20.567391304347826</v>
      </c>
    </row>
    <row r="266" spans="1:5" x14ac:dyDescent="0.3">
      <c r="A266" s="5" t="s">
        <v>262</v>
      </c>
      <c r="B266" s="6">
        <v>3.25</v>
      </c>
      <c r="C266" s="7">
        <v>30</v>
      </c>
      <c r="D266" s="8">
        <v>0.87487499999999996</v>
      </c>
      <c r="E266" s="7">
        <f t="shared" si="4"/>
        <v>22.836956521739133</v>
      </c>
    </row>
    <row r="267" spans="1:5" x14ac:dyDescent="0.3">
      <c r="A267" s="5" t="s">
        <v>263</v>
      </c>
      <c r="B267" s="6">
        <v>2.8000000000000003</v>
      </c>
      <c r="C267" s="7">
        <v>25</v>
      </c>
      <c r="D267" s="8">
        <v>0.87063999999999997</v>
      </c>
      <c r="E267" s="7">
        <f t="shared" si="4"/>
        <v>18.939130434782609</v>
      </c>
    </row>
    <row r="268" spans="1:5" x14ac:dyDescent="0.3">
      <c r="A268" s="5" t="s">
        <v>264</v>
      </c>
      <c r="B268" s="6">
        <v>5.6000000000000005</v>
      </c>
      <c r="C268" s="7">
        <v>30</v>
      </c>
      <c r="D268" s="8">
        <v>0.78439999999999999</v>
      </c>
      <c r="E268" s="7">
        <f t="shared" si="4"/>
        <v>20.486956521739131</v>
      </c>
    </row>
    <row r="269" spans="1:5" x14ac:dyDescent="0.3">
      <c r="A269" s="5" t="s">
        <v>265</v>
      </c>
      <c r="B269" s="6">
        <v>5.8000000000000007</v>
      </c>
      <c r="C269" s="7">
        <v>35</v>
      </c>
      <c r="D269" s="8">
        <v>0.80859999999999999</v>
      </c>
      <c r="E269" s="7">
        <f t="shared" si="4"/>
        <v>24.634782608695655</v>
      </c>
    </row>
    <row r="270" spans="1:5" x14ac:dyDescent="0.3">
      <c r="A270" s="5" t="s">
        <v>266</v>
      </c>
      <c r="B270" s="6">
        <v>5.8000000000000007</v>
      </c>
      <c r="C270" s="7">
        <v>40</v>
      </c>
      <c r="D270" s="8">
        <v>0.83252499999999996</v>
      </c>
      <c r="E270" s="7">
        <f t="shared" si="4"/>
        <v>28.982608695652178</v>
      </c>
    </row>
    <row r="271" spans="1:5" x14ac:dyDescent="0.3">
      <c r="A271" s="5" t="s">
        <v>267</v>
      </c>
      <c r="B271" s="6">
        <v>19.45911111111111</v>
      </c>
      <c r="C271" s="7">
        <v>70</v>
      </c>
      <c r="D271" s="8">
        <v>0.67892466666666662</v>
      </c>
      <c r="E271" s="7">
        <f t="shared" si="4"/>
        <v>41.410454106280199</v>
      </c>
    </row>
    <row r="272" spans="1:5" x14ac:dyDescent="0.3">
      <c r="A272" s="5" t="s">
        <v>268</v>
      </c>
      <c r="B272" s="6">
        <v>34.655923314780452</v>
      </c>
      <c r="C272" s="7">
        <v>120</v>
      </c>
      <c r="D272" s="8">
        <v>0.66643673809523807</v>
      </c>
      <c r="E272" s="7">
        <f t="shared" si="4"/>
        <v>69.691902772176078</v>
      </c>
    </row>
    <row r="273" spans="1:5" x14ac:dyDescent="0.3">
      <c r="A273" s="5" t="s">
        <v>269</v>
      </c>
      <c r="B273" s="6">
        <v>15.786589981447126</v>
      </c>
      <c r="C273" s="7">
        <v>60</v>
      </c>
      <c r="D273" s="8">
        <v>0.69610814285714284</v>
      </c>
      <c r="E273" s="7">
        <f t="shared" si="4"/>
        <v>36.387323062031143</v>
      </c>
    </row>
    <row r="274" spans="1:5" x14ac:dyDescent="0.3">
      <c r="A274" s="5" t="s">
        <v>270</v>
      </c>
      <c r="B274" s="6">
        <v>16.174673282026617</v>
      </c>
      <c r="C274" s="7">
        <v>75</v>
      </c>
      <c r="D274" s="8">
        <v>0.75091003145679003</v>
      </c>
      <c r="E274" s="7">
        <f t="shared" si="4"/>
        <v>49.04271802232121</v>
      </c>
    </row>
    <row r="275" spans="1:5" x14ac:dyDescent="0.3">
      <c r="A275" s="5" t="s">
        <v>271</v>
      </c>
      <c r="B275" s="6">
        <v>21.706181818181818</v>
      </c>
      <c r="C275" s="7">
        <v>75</v>
      </c>
      <c r="D275" s="8">
        <v>0.66572480000000001</v>
      </c>
      <c r="E275" s="7">
        <f t="shared" si="4"/>
        <v>43.51120948616601</v>
      </c>
    </row>
    <row r="276" spans="1:5" x14ac:dyDescent="0.3">
      <c r="A276" s="5" t="s">
        <v>272</v>
      </c>
      <c r="B276" s="6">
        <v>6.620000000000001</v>
      </c>
      <c r="C276" s="7">
        <v>35</v>
      </c>
      <c r="D276" s="8">
        <v>0.7815399999999999</v>
      </c>
      <c r="E276" s="7">
        <f t="shared" si="4"/>
        <v>23.814782608695655</v>
      </c>
    </row>
    <row r="277" spans="1:5" x14ac:dyDescent="0.3">
      <c r="A277" s="5" t="s">
        <v>273</v>
      </c>
      <c r="B277" s="6">
        <v>29.849704915130644</v>
      </c>
      <c r="C277" s="7">
        <v>90</v>
      </c>
      <c r="D277" s="8">
        <v>0.61692878692248998</v>
      </c>
      <c r="E277" s="7">
        <f t="shared" si="4"/>
        <v>48.411164650086747</v>
      </c>
    </row>
    <row r="278" spans="1:5" x14ac:dyDescent="0.3">
      <c r="A278" s="5" t="s">
        <v>274</v>
      </c>
      <c r="B278" s="6">
        <v>36.819585370219663</v>
      </c>
      <c r="C278" s="7">
        <v>110</v>
      </c>
      <c r="D278" s="8">
        <v>0.61339435361269357</v>
      </c>
      <c r="E278" s="7">
        <f t="shared" si="4"/>
        <v>58.832588542823821</v>
      </c>
    </row>
    <row r="279" spans="1:5" x14ac:dyDescent="0.3">
      <c r="A279" s="5" t="s">
        <v>275</v>
      </c>
      <c r="B279" s="6">
        <v>27.87475229690552</v>
      </c>
      <c r="C279" s="7">
        <v>90</v>
      </c>
      <c r="D279" s="8">
        <v>0.64227401218971247</v>
      </c>
      <c r="E279" s="7">
        <f t="shared" si="4"/>
        <v>50.386117268311871</v>
      </c>
    </row>
    <row r="280" spans="1:5" x14ac:dyDescent="0.3">
      <c r="A280" s="5" t="s">
        <v>276</v>
      </c>
      <c r="B280" s="6">
        <v>34.651435612096606</v>
      </c>
      <c r="C280" s="7">
        <v>90</v>
      </c>
      <c r="D280" s="8">
        <v>0.55530657631142688</v>
      </c>
      <c r="E280" s="7">
        <f t="shared" si="4"/>
        <v>43.609433953120785</v>
      </c>
    </row>
    <row r="281" spans="1:5" x14ac:dyDescent="0.3">
      <c r="A281" s="5" t="s">
        <v>277</v>
      </c>
      <c r="B281" s="6">
        <v>35.56875099185676</v>
      </c>
      <c r="C281" s="7">
        <v>95</v>
      </c>
      <c r="D281" s="8">
        <v>0.5675588695200573</v>
      </c>
      <c r="E281" s="7">
        <f t="shared" si="4"/>
        <v>47.039944660317161</v>
      </c>
    </row>
    <row r="282" spans="1:5" x14ac:dyDescent="0.3">
      <c r="A282" s="5" t="s">
        <v>278</v>
      </c>
      <c r="B282" s="6">
        <v>33.099149495258118</v>
      </c>
      <c r="C282" s="7">
        <v>95</v>
      </c>
      <c r="D282" s="8">
        <v>0.59758402455765136</v>
      </c>
      <c r="E282" s="7">
        <f t="shared" si="4"/>
        <v>49.509546156915803</v>
      </c>
    </row>
    <row r="283" spans="1:5" x14ac:dyDescent="0.3">
      <c r="A283" s="5" t="s">
        <v>279</v>
      </c>
      <c r="B283" s="6">
        <v>36.47248282859146</v>
      </c>
      <c r="C283" s="7">
        <v>95</v>
      </c>
      <c r="D283" s="8">
        <v>0.55657139297870384</v>
      </c>
      <c r="E283" s="7">
        <f t="shared" si="4"/>
        <v>46.136212823582461</v>
      </c>
    </row>
    <row r="284" spans="1:5" x14ac:dyDescent="0.3">
      <c r="A284" s="5" t="s">
        <v>280</v>
      </c>
      <c r="B284" s="6">
        <v>40.583805490929109</v>
      </c>
      <c r="C284" s="7">
        <v>110</v>
      </c>
      <c r="D284" s="8">
        <v>0.5738700423452443</v>
      </c>
      <c r="E284" s="7">
        <f t="shared" si="4"/>
        <v>55.068368422114375</v>
      </c>
    </row>
    <row r="285" spans="1:5" x14ac:dyDescent="0.3">
      <c r="A285" s="5" t="s">
        <v>281</v>
      </c>
      <c r="B285" s="6">
        <v>44.632958636991013</v>
      </c>
      <c r="C285" s="7">
        <v>145</v>
      </c>
      <c r="D285" s="8">
        <v>0.6444753984432785</v>
      </c>
      <c r="E285" s="7">
        <f t="shared" si="4"/>
        <v>81.453997884748134</v>
      </c>
    </row>
    <row r="286" spans="1:5" x14ac:dyDescent="0.3">
      <c r="A286" s="5" t="s">
        <v>282</v>
      </c>
      <c r="B286" s="6">
        <v>19.3440385699339</v>
      </c>
      <c r="C286" s="7">
        <v>55</v>
      </c>
      <c r="D286" s="8">
        <v>0.59377519003138812</v>
      </c>
      <c r="E286" s="7">
        <f t="shared" si="4"/>
        <v>28.482048386587842</v>
      </c>
    </row>
    <row r="287" spans="1:5" x14ac:dyDescent="0.3">
      <c r="A287" s="5" t="s">
        <v>283</v>
      </c>
      <c r="B287" s="6">
        <v>113.53</v>
      </c>
      <c r="C287" s="7">
        <v>345</v>
      </c>
      <c r="D287" s="8">
        <v>0.619921304347826</v>
      </c>
      <c r="E287" s="7">
        <f t="shared" si="4"/>
        <v>186.47</v>
      </c>
    </row>
    <row r="288" spans="1:5" x14ac:dyDescent="0.3">
      <c r="A288" s="5" t="s">
        <v>284</v>
      </c>
      <c r="B288" s="6">
        <v>129.5</v>
      </c>
      <c r="C288" s="7">
        <v>355</v>
      </c>
      <c r="D288" s="8">
        <v>0.57866901408450699</v>
      </c>
      <c r="E288" s="7">
        <f t="shared" si="4"/>
        <v>179.19565217391306</v>
      </c>
    </row>
    <row r="289" spans="1:5" x14ac:dyDescent="0.3">
      <c r="A289" s="5" t="s">
        <v>285</v>
      </c>
      <c r="B289" s="6">
        <v>164.09</v>
      </c>
      <c r="C289" s="7">
        <v>455</v>
      </c>
      <c r="D289" s="8">
        <v>0.58346384615384617</v>
      </c>
      <c r="E289" s="7">
        <f t="shared" si="4"/>
        <v>231.56217391304349</v>
      </c>
    </row>
    <row r="290" spans="1:5" x14ac:dyDescent="0.3">
      <c r="A290" s="5" t="s">
        <v>286</v>
      </c>
      <c r="B290" s="6">
        <v>156.52173913043478</v>
      </c>
      <c r="C290" s="7">
        <v>360</v>
      </c>
      <c r="D290" s="8">
        <v>0.49782608695652175</v>
      </c>
      <c r="E290" s="7">
        <f t="shared" si="4"/>
        <v>156.52173913043478</v>
      </c>
    </row>
    <row r="291" spans="1:5" x14ac:dyDescent="0.3">
      <c r="A291" s="5" t="s">
        <v>287</v>
      </c>
      <c r="B291" s="6">
        <v>107.82608695652175</v>
      </c>
      <c r="C291" s="7">
        <v>250</v>
      </c>
      <c r="D291" s="8">
        <v>0.50184347826086961</v>
      </c>
      <c r="E291" s="7">
        <f t="shared" si="4"/>
        <v>109.56521739130434</v>
      </c>
    </row>
    <row r="292" spans="1:5" x14ac:dyDescent="0.3">
      <c r="A292" s="5" t="s">
        <v>288</v>
      </c>
      <c r="B292" s="6">
        <v>114.34782608695653</v>
      </c>
      <c r="C292" s="7">
        <v>270</v>
      </c>
      <c r="D292" s="8">
        <v>0.51084541062801936</v>
      </c>
      <c r="E292" s="7">
        <f t="shared" si="4"/>
        <v>120.43478260869566</v>
      </c>
    </row>
    <row r="293" spans="1:5" x14ac:dyDescent="0.3">
      <c r="A293" s="5" t="s">
        <v>289</v>
      </c>
      <c r="B293" s="6">
        <v>230.43478260869566</v>
      </c>
      <c r="C293" s="7">
        <v>535</v>
      </c>
      <c r="D293" s="8">
        <v>0.50251930109711496</v>
      </c>
      <c r="E293" s="7">
        <f t="shared" si="4"/>
        <v>234.78260869565221</v>
      </c>
    </row>
    <row r="294" spans="1:5" x14ac:dyDescent="0.3">
      <c r="A294" s="5" t="s">
        <v>290</v>
      </c>
      <c r="B294" s="6">
        <v>133.91304347826087</v>
      </c>
      <c r="C294" s="7">
        <v>320</v>
      </c>
      <c r="D294" s="8">
        <v>0.51665760869565214</v>
      </c>
      <c r="E294" s="7">
        <f t="shared" si="4"/>
        <v>144.34782608695656</v>
      </c>
    </row>
    <row r="295" spans="1:5" x14ac:dyDescent="0.3">
      <c r="A295" s="5" t="s">
        <v>291</v>
      </c>
      <c r="B295" s="6">
        <v>115.22</v>
      </c>
      <c r="C295" s="7">
        <v>275</v>
      </c>
      <c r="D295" s="8">
        <v>0.51607599999999998</v>
      </c>
      <c r="E295" s="7">
        <f t="shared" si="4"/>
        <v>123.91043478260872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Jaclyn Neff</dc:creator>
  <cp:lastModifiedBy>Jaclyn Neff</cp:lastModifiedBy>
  <dcterms:created xsi:type="dcterms:W3CDTF">2025-05-14T13:26:25Z</dcterms:created>
  <dcterms:modified xsi:type="dcterms:W3CDTF">2025-05-15T12:40:37Z</dcterms:modified>
</cp:coreProperties>
</file>